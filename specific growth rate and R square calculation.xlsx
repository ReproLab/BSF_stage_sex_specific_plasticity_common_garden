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My research\Common garden project\data and analysis\"/>
    </mc:Choice>
  </mc:AlternateContent>
  <xr:revisionPtr revIDLastSave="0" documentId="13_ncr:1_{FAAE3E61-5CA5-48AB-994B-C5E2570C91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79" i="1" l="1"/>
  <c r="F379" i="1"/>
  <c r="G378" i="1"/>
  <c r="F378" i="1"/>
  <c r="G377" i="1"/>
  <c r="F377" i="1"/>
  <c r="G376" i="1"/>
  <c r="F376" i="1"/>
  <c r="G375" i="1"/>
  <c r="F375" i="1"/>
  <c r="G374" i="1"/>
  <c r="F374" i="1"/>
  <c r="G373" i="1"/>
  <c r="F373" i="1"/>
  <c r="G372" i="1"/>
  <c r="F372" i="1"/>
  <c r="G371" i="1"/>
  <c r="F371" i="1"/>
  <c r="G370" i="1"/>
  <c r="F370" i="1"/>
  <c r="G369" i="1"/>
  <c r="F369" i="1"/>
  <c r="G368" i="1"/>
  <c r="F368" i="1"/>
  <c r="G367" i="1"/>
  <c r="F367" i="1"/>
  <c r="G366" i="1"/>
  <c r="F366" i="1"/>
  <c r="G365" i="1"/>
  <c r="F365" i="1"/>
  <c r="G364" i="1"/>
  <c r="F364" i="1"/>
  <c r="G363" i="1"/>
  <c r="F363" i="1"/>
  <c r="G362" i="1"/>
  <c r="F362" i="1"/>
  <c r="G361" i="1"/>
  <c r="F361" i="1"/>
  <c r="G360" i="1"/>
  <c r="F360" i="1"/>
  <c r="G359" i="1"/>
  <c r="F359" i="1"/>
  <c r="G358" i="1"/>
  <c r="F358" i="1"/>
  <c r="G357" i="1"/>
  <c r="F357" i="1"/>
  <c r="G356" i="1"/>
  <c r="F356" i="1"/>
  <c r="G355" i="1"/>
  <c r="F355" i="1"/>
  <c r="G354" i="1"/>
  <c r="F354" i="1"/>
  <c r="G353" i="1"/>
  <c r="F353" i="1"/>
  <c r="G352" i="1"/>
  <c r="F352" i="1"/>
  <c r="G351" i="1"/>
  <c r="F351" i="1"/>
  <c r="G350" i="1"/>
  <c r="F350" i="1"/>
  <c r="G349" i="1"/>
  <c r="F349" i="1"/>
  <c r="G348" i="1"/>
  <c r="F348" i="1"/>
  <c r="G347" i="1"/>
  <c r="F347" i="1"/>
  <c r="G346" i="1"/>
  <c r="F346" i="1"/>
  <c r="G345" i="1"/>
  <c r="F345" i="1"/>
  <c r="G344" i="1"/>
  <c r="F344" i="1"/>
  <c r="G343" i="1"/>
  <c r="F343" i="1"/>
  <c r="G342" i="1"/>
  <c r="F342" i="1"/>
  <c r="G341" i="1"/>
  <c r="F341" i="1"/>
  <c r="G340" i="1"/>
  <c r="F340" i="1"/>
  <c r="G339" i="1"/>
  <c r="F339" i="1"/>
  <c r="G338" i="1"/>
  <c r="F338" i="1"/>
  <c r="G337" i="1"/>
  <c r="F337" i="1"/>
  <c r="G336" i="1"/>
  <c r="F336" i="1"/>
  <c r="G335" i="1"/>
  <c r="F335" i="1"/>
  <c r="G334" i="1"/>
  <c r="F334" i="1"/>
  <c r="G333" i="1"/>
  <c r="F333" i="1"/>
  <c r="G332" i="1"/>
  <c r="F332" i="1"/>
  <c r="G331" i="1"/>
  <c r="F331" i="1"/>
  <c r="G330" i="1"/>
  <c r="F330" i="1"/>
  <c r="G329" i="1"/>
  <c r="F329" i="1"/>
  <c r="G328" i="1"/>
  <c r="F328" i="1"/>
  <c r="G327" i="1"/>
  <c r="F327" i="1"/>
  <c r="G326" i="1"/>
  <c r="F326" i="1"/>
  <c r="G325" i="1"/>
  <c r="F325" i="1"/>
  <c r="G324" i="1"/>
  <c r="F324" i="1"/>
  <c r="G323" i="1"/>
  <c r="F323" i="1"/>
  <c r="G322" i="1"/>
  <c r="F322" i="1"/>
  <c r="G321" i="1"/>
  <c r="F321" i="1"/>
  <c r="G320" i="1"/>
  <c r="F320" i="1"/>
  <c r="G319" i="1"/>
  <c r="F319" i="1"/>
  <c r="G318" i="1"/>
  <c r="F318" i="1"/>
  <c r="G317" i="1"/>
  <c r="F317" i="1"/>
  <c r="G316" i="1"/>
  <c r="F316" i="1"/>
  <c r="G315" i="1"/>
  <c r="F315" i="1"/>
  <c r="G314" i="1"/>
  <c r="F314" i="1"/>
  <c r="G313" i="1"/>
  <c r="F313" i="1"/>
  <c r="G312" i="1"/>
  <c r="F312" i="1"/>
  <c r="G311" i="1"/>
  <c r="F311" i="1"/>
  <c r="G310" i="1"/>
  <c r="F310" i="1"/>
  <c r="G309" i="1"/>
  <c r="F309" i="1"/>
  <c r="G308" i="1"/>
  <c r="F308" i="1"/>
  <c r="G307" i="1"/>
  <c r="F307" i="1"/>
  <c r="G306" i="1"/>
  <c r="F306" i="1"/>
  <c r="G305" i="1"/>
  <c r="F305" i="1"/>
  <c r="G304" i="1"/>
  <c r="F304" i="1"/>
  <c r="G303" i="1"/>
  <c r="F303" i="1"/>
  <c r="G302" i="1"/>
  <c r="F302" i="1"/>
  <c r="G301" i="1"/>
  <c r="F301" i="1"/>
  <c r="G300" i="1"/>
  <c r="F300" i="1"/>
  <c r="G299" i="1"/>
  <c r="F299" i="1"/>
  <c r="G298" i="1"/>
  <c r="F298" i="1"/>
  <c r="G297" i="1"/>
  <c r="F297" i="1"/>
  <c r="G296" i="1"/>
  <c r="F296" i="1"/>
  <c r="G295" i="1"/>
  <c r="F295" i="1"/>
  <c r="G294" i="1"/>
  <c r="F294" i="1"/>
  <c r="G293" i="1"/>
  <c r="F293" i="1"/>
  <c r="G292" i="1"/>
  <c r="F292" i="1"/>
  <c r="G291" i="1"/>
  <c r="F291" i="1"/>
  <c r="G290" i="1"/>
  <c r="F290" i="1"/>
  <c r="G289" i="1"/>
  <c r="F289" i="1"/>
  <c r="G288" i="1"/>
  <c r="F288" i="1"/>
  <c r="G287" i="1"/>
  <c r="F287" i="1"/>
  <c r="G286" i="1"/>
  <c r="F286" i="1"/>
  <c r="G285" i="1"/>
  <c r="F285" i="1"/>
  <c r="G284" i="1"/>
  <c r="F284" i="1"/>
  <c r="G283" i="1"/>
  <c r="F283" i="1"/>
  <c r="G282" i="1"/>
  <c r="F282" i="1"/>
  <c r="G281" i="1"/>
  <c r="F281" i="1"/>
  <c r="G280" i="1"/>
  <c r="F280" i="1"/>
  <c r="G279" i="1"/>
  <c r="F279" i="1"/>
  <c r="G278" i="1"/>
  <c r="F278" i="1"/>
  <c r="G277" i="1"/>
  <c r="F277" i="1"/>
  <c r="G276" i="1"/>
  <c r="F276" i="1"/>
  <c r="G275" i="1"/>
  <c r="F275" i="1"/>
  <c r="G274" i="1"/>
  <c r="F274" i="1"/>
  <c r="G273" i="1"/>
  <c r="F273" i="1"/>
  <c r="G272" i="1"/>
  <c r="F272" i="1"/>
  <c r="G271" i="1"/>
  <c r="F271" i="1"/>
  <c r="G270" i="1"/>
  <c r="F270" i="1"/>
  <c r="G269" i="1"/>
  <c r="F269" i="1"/>
  <c r="G268" i="1"/>
  <c r="F268" i="1"/>
  <c r="G267" i="1"/>
  <c r="F267" i="1"/>
  <c r="G266" i="1"/>
  <c r="F266" i="1"/>
  <c r="G265" i="1"/>
  <c r="F265" i="1"/>
  <c r="G264" i="1"/>
  <c r="F264" i="1"/>
  <c r="G263" i="1"/>
  <c r="F263" i="1"/>
  <c r="G262" i="1"/>
  <c r="F262" i="1"/>
  <c r="G261" i="1"/>
  <c r="F261" i="1"/>
  <c r="G260" i="1"/>
  <c r="F260" i="1"/>
  <c r="G259" i="1"/>
  <c r="F259" i="1"/>
  <c r="G258" i="1"/>
  <c r="F258" i="1"/>
  <c r="G257" i="1"/>
  <c r="F257" i="1"/>
  <c r="G256" i="1"/>
  <c r="F256" i="1"/>
  <c r="G255" i="1"/>
  <c r="F255" i="1"/>
  <c r="G254" i="1"/>
  <c r="F254" i="1"/>
  <c r="G253" i="1"/>
  <c r="F253" i="1"/>
  <c r="G252" i="1"/>
  <c r="F252" i="1"/>
  <c r="G251" i="1"/>
  <c r="F251" i="1"/>
  <c r="G250" i="1"/>
  <c r="F250" i="1"/>
  <c r="G249" i="1"/>
  <c r="F249" i="1"/>
  <c r="G248" i="1"/>
  <c r="F248" i="1"/>
  <c r="G247" i="1"/>
  <c r="F247" i="1"/>
  <c r="G246" i="1"/>
  <c r="F246" i="1"/>
  <c r="G245" i="1"/>
  <c r="F245" i="1"/>
  <c r="G244" i="1"/>
  <c r="F244" i="1"/>
  <c r="G243" i="1"/>
  <c r="F243" i="1"/>
  <c r="G242" i="1"/>
  <c r="F242" i="1"/>
  <c r="G241" i="1"/>
  <c r="F241" i="1"/>
  <c r="G240" i="1"/>
  <c r="F240" i="1"/>
  <c r="G239" i="1"/>
  <c r="F239" i="1"/>
  <c r="G238" i="1"/>
  <c r="F238" i="1"/>
  <c r="G237" i="1"/>
  <c r="F237" i="1"/>
  <c r="G236" i="1"/>
  <c r="F236" i="1"/>
  <c r="G235" i="1"/>
  <c r="F235" i="1"/>
  <c r="G234" i="1"/>
  <c r="F234" i="1"/>
  <c r="G233" i="1"/>
  <c r="F233" i="1"/>
  <c r="G232" i="1"/>
  <c r="F232" i="1"/>
  <c r="G231" i="1"/>
  <c r="F231" i="1"/>
  <c r="G230" i="1"/>
  <c r="F230" i="1"/>
  <c r="G229" i="1"/>
  <c r="F229" i="1"/>
  <c r="G228" i="1"/>
  <c r="F228" i="1"/>
  <c r="G227" i="1"/>
  <c r="F227" i="1"/>
  <c r="G226" i="1"/>
  <c r="F226" i="1"/>
  <c r="G225" i="1"/>
  <c r="F225" i="1"/>
  <c r="G224" i="1"/>
  <c r="F224" i="1"/>
  <c r="G223" i="1"/>
  <c r="F223" i="1"/>
  <c r="G222" i="1"/>
  <c r="F222" i="1"/>
  <c r="G221" i="1"/>
  <c r="F221" i="1"/>
  <c r="G220" i="1"/>
  <c r="F220" i="1"/>
  <c r="G219" i="1"/>
  <c r="F219" i="1"/>
  <c r="G218" i="1"/>
  <c r="F218" i="1"/>
  <c r="G217" i="1"/>
  <c r="F217" i="1"/>
  <c r="G216" i="1"/>
  <c r="F216" i="1"/>
  <c r="G215" i="1"/>
  <c r="F215" i="1"/>
  <c r="G214" i="1"/>
  <c r="F214" i="1"/>
  <c r="G213" i="1"/>
  <c r="F213" i="1"/>
  <c r="G212" i="1"/>
  <c r="F212" i="1"/>
  <c r="G211" i="1"/>
  <c r="F211" i="1"/>
  <c r="G210" i="1"/>
  <c r="F210" i="1"/>
  <c r="G209" i="1"/>
  <c r="F209" i="1"/>
  <c r="G208" i="1"/>
  <c r="F208" i="1"/>
  <c r="G207" i="1"/>
  <c r="F207" i="1"/>
  <c r="G206" i="1"/>
  <c r="F206" i="1"/>
  <c r="G205" i="1"/>
  <c r="F205" i="1"/>
  <c r="G204" i="1"/>
  <c r="F204" i="1"/>
  <c r="G203" i="1"/>
  <c r="F203" i="1"/>
  <c r="G202" i="1"/>
  <c r="F202" i="1"/>
  <c r="G201" i="1"/>
  <c r="F201" i="1"/>
  <c r="G200" i="1"/>
  <c r="F200" i="1"/>
  <c r="G199" i="1"/>
  <c r="F199" i="1"/>
  <c r="G198" i="1"/>
  <c r="F198" i="1"/>
  <c r="G197" i="1"/>
  <c r="F197" i="1"/>
  <c r="G196" i="1"/>
  <c r="F196" i="1"/>
  <c r="G195" i="1"/>
  <c r="F195" i="1"/>
  <c r="G194" i="1"/>
  <c r="F194" i="1"/>
  <c r="G193" i="1"/>
  <c r="F193" i="1"/>
  <c r="G192" i="1"/>
  <c r="F192" i="1"/>
  <c r="G191" i="1"/>
  <c r="F191" i="1"/>
  <c r="G190" i="1"/>
  <c r="F190" i="1"/>
  <c r="G189" i="1"/>
  <c r="F189" i="1"/>
  <c r="G188" i="1"/>
  <c r="F188" i="1"/>
  <c r="G187" i="1"/>
  <c r="F187" i="1"/>
  <c r="G186" i="1"/>
  <c r="F186" i="1"/>
  <c r="G185" i="1"/>
  <c r="F185" i="1"/>
  <c r="G184" i="1"/>
  <c r="F184" i="1"/>
  <c r="G183" i="1"/>
  <c r="F183" i="1"/>
  <c r="G182" i="1"/>
  <c r="F182" i="1"/>
  <c r="G181" i="1"/>
  <c r="F181" i="1"/>
  <c r="G180" i="1"/>
  <c r="F180" i="1"/>
  <c r="G179" i="1"/>
  <c r="F179" i="1"/>
  <c r="G178" i="1"/>
  <c r="F178" i="1"/>
  <c r="G177" i="1"/>
  <c r="F177" i="1"/>
  <c r="G176" i="1"/>
  <c r="F176" i="1"/>
  <c r="G175" i="1"/>
  <c r="F175" i="1"/>
  <c r="G174" i="1"/>
  <c r="F174" i="1"/>
  <c r="G173" i="1"/>
  <c r="F173" i="1"/>
  <c r="G172" i="1"/>
  <c r="F172" i="1"/>
  <c r="G171" i="1"/>
  <c r="F171" i="1"/>
  <c r="G170" i="1"/>
  <c r="F170" i="1"/>
  <c r="G169" i="1"/>
  <c r="F169" i="1"/>
  <c r="G168" i="1"/>
  <c r="F168" i="1"/>
  <c r="G167" i="1"/>
  <c r="F167" i="1"/>
  <c r="G166" i="1"/>
  <c r="F166" i="1"/>
  <c r="G165" i="1"/>
  <c r="F165" i="1"/>
  <c r="G164" i="1"/>
  <c r="F164" i="1"/>
  <c r="G163" i="1"/>
  <c r="F163" i="1"/>
  <c r="G162" i="1"/>
  <c r="F162" i="1"/>
  <c r="G161" i="1"/>
  <c r="F161" i="1"/>
  <c r="G160" i="1"/>
  <c r="F160" i="1"/>
  <c r="G159" i="1"/>
  <c r="F159" i="1"/>
  <c r="G158" i="1"/>
  <c r="F158" i="1"/>
  <c r="G157" i="1"/>
  <c r="F157" i="1"/>
  <c r="G156" i="1"/>
  <c r="F156" i="1"/>
  <c r="G155" i="1"/>
  <c r="F155" i="1"/>
  <c r="G154" i="1"/>
  <c r="F154" i="1"/>
  <c r="G153" i="1"/>
  <c r="F153" i="1"/>
  <c r="G152" i="1"/>
  <c r="F152" i="1"/>
  <c r="G151" i="1"/>
  <c r="F151" i="1"/>
  <c r="G150" i="1"/>
  <c r="F150" i="1"/>
  <c r="G149" i="1"/>
  <c r="F149" i="1"/>
  <c r="G148" i="1"/>
  <c r="F148" i="1"/>
  <c r="G147" i="1"/>
  <c r="F147" i="1"/>
  <c r="G146" i="1"/>
  <c r="F146" i="1"/>
  <c r="G145" i="1"/>
  <c r="F145" i="1"/>
  <c r="G144" i="1"/>
  <c r="F144" i="1"/>
  <c r="G143" i="1"/>
  <c r="F143" i="1"/>
  <c r="G142" i="1"/>
  <c r="F142" i="1"/>
  <c r="G141" i="1"/>
  <c r="F141" i="1"/>
  <c r="G140" i="1"/>
  <c r="F140" i="1"/>
  <c r="G139" i="1"/>
  <c r="F139" i="1"/>
  <c r="G138" i="1"/>
  <c r="F138" i="1"/>
  <c r="G137" i="1"/>
  <c r="F137" i="1"/>
  <c r="G136" i="1"/>
  <c r="F136" i="1"/>
  <c r="G135" i="1"/>
  <c r="F135" i="1"/>
  <c r="G134" i="1"/>
  <c r="F134" i="1"/>
  <c r="G133" i="1"/>
  <c r="F133" i="1"/>
  <c r="G132" i="1"/>
  <c r="F132" i="1"/>
  <c r="G131" i="1"/>
  <c r="F131" i="1"/>
  <c r="G130" i="1"/>
  <c r="F130" i="1"/>
  <c r="G129" i="1"/>
  <c r="F129" i="1"/>
  <c r="G128" i="1"/>
  <c r="F128" i="1"/>
  <c r="G127" i="1"/>
  <c r="F127" i="1"/>
  <c r="G126" i="1"/>
  <c r="F126" i="1"/>
  <c r="G125" i="1"/>
  <c r="F125" i="1"/>
  <c r="G124" i="1"/>
  <c r="F124" i="1"/>
  <c r="G123" i="1"/>
  <c r="F123" i="1"/>
  <c r="G122" i="1"/>
  <c r="F122" i="1"/>
  <c r="G121" i="1"/>
  <c r="F121" i="1"/>
  <c r="G120" i="1"/>
  <c r="F120" i="1"/>
  <c r="G119" i="1"/>
  <c r="F119" i="1"/>
  <c r="G118" i="1"/>
  <c r="F118" i="1"/>
  <c r="G117" i="1"/>
  <c r="F117" i="1"/>
  <c r="G116" i="1"/>
  <c r="F116" i="1"/>
  <c r="G115" i="1"/>
  <c r="F115" i="1"/>
  <c r="G114" i="1"/>
  <c r="F114" i="1"/>
  <c r="G113" i="1"/>
  <c r="F113" i="1"/>
  <c r="G112" i="1"/>
  <c r="F112" i="1"/>
  <c r="G111" i="1"/>
  <c r="F111" i="1"/>
  <c r="G110" i="1"/>
  <c r="F110" i="1"/>
  <c r="G109" i="1"/>
  <c r="F109" i="1"/>
  <c r="G108" i="1"/>
  <c r="F108" i="1"/>
  <c r="G107" i="1"/>
  <c r="F107" i="1"/>
  <c r="G106" i="1"/>
  <c r="F106" i="1"/>
  <c r="G105" i="1"/>
  <c r="F105" i="1"/>
  <c r="G104" i="1"/>
  <c r="F104" i="1"/>
  <c r="G103" i="1"/>
  <c r="F103" i="1"/>
  <c r="G102" i="1"/>
  <c r="F102" i="1"/>
  <c r="G101" i="1"/>
  <c r="F101" i="1"/>
  <c r="G100" i="1"/>
  <c r="F100" i="1"/>
  <c r="G99" i="1"/>
  <c r="F99" i="1"/>
  <c r="G98" i="1"/>
  <c r="F98" i="1"/>
  <c r="G97" i="1"/>
  <c r="F97" i="1"/>
  <c r="G96" i="1"/>
  <c r="F96" i="1"/>
  <c r="G95" i="1"/>
  <c r="F95" i="1"/>
  <c r="G94" i="1"/>
  <c r="F94" i="1"/>
  <c r="G93" i="1"/>
  <c r="F93" i="1"/>
  <c r="G92" i="1"/>
  <c r="F92" i="1"/>
  <c r="G91" i="1"/>
  <c r="F91" i="1"/>
  <c r="G90" i="1"/>
  <c r="F90" i="1"/>
  <c r="G89" i="1"/>
  <c r="F89" i="1"/>
  <c r="G88" i="1"/>
  <c r="F88" i="1"/>
  <c r="G87" i="1"/>
  <c r="F87" i="1"/>
  <c r="G86" i="1"/>
  <c r="F86" i="1"/>
  <c r="G85" i="1"/>
  <c r="F85" i="1"/>
  <c r="G84" i="1"/>
  <c r="F84" i="1"/>
  <c r="G83" i="1"/>
  <c r="F83" i="1"/>
  <c r="G82" i="1"/>
  <c r="F82" i="1"/>
  <c r="G81" i="1"/>
  <c r="F81" i="1"/>
  <c r="G80" i="1"/>
  <c r="F80" i="1"/>
  <c r="G79" i="1"/>
  <c r="F79" i="1"/>
  <c r="G78" i="1"/>
  <c r="F78" i="1"/>
  <c r="G77" i="1"/>
  <c r="F77" i="1"/>
  <c r="G76" i="1"/>
  <c r="F76" i="1"/>
  <c r="G75" i="1"/>
  <c r="F75" i="1"/>
  <c r="G74" i="1"/>
  <c r="F74" i="1"/>
  <c r="G73" i="1"/>
  <c r="F73" i="1"/>
  <c r="G72" i="1"/>
  <c r="F72" i="1"/>
  <c r="G71" i="1"/>
  <c r="F71" i="1"/>
  <c r="G70" i="1"/>
  <c r="F70" i="1"/>
  <c r="G69" i="1"/>
  <c r="F69" i="1"/>
  <c r="G68" i="1"/>
  <c r="F68" i="1"/>
  <c r="G67" i="1"/>
  <c r="F67" i="1"/>
  <c r="G66" i="1"/>
  <c r="F66" i="1"/>
  <c r="G65" i="1"/>
  <c r="F65" i="1"/>
  <c r="G64" i="1"/>
  <c r="F64" i="1"/>
  <c r="G63" i="1"/>
  <c r="F63" i="1"/>
  <c r="G62" i="1"/>
  <c r="F62" i="1"/>
  <c r="G61" i="1"/>
  <c r="F61" i="1"/>
  <c r="G60" i="1"/>
  <c r="F60" i="1"/>
  <c r="G59" i="1"/>
  <c r="F59" i="1"/>
  <c r="G58" i="1"/>
  <c r="F58" i="1"/>
  <c r="G57" i="1"/>
  <c r="F57" i="1"/>
  <c r="G56" i="1"/>
  <c r="F56" i="1"/>
  <c r="G55" i="1"/>
  <c r="F55" i="1"/>
  <c r="G54" i="1"/>
  <c r="F54" i="1"/>
  <c r="G53" i="1"/>
  <c r="F53" i="1"/>
  <c r="G52" i="1"/>
  <c r="F52" i="1"/>
  <c r="G51" i="1"/>
  <c r="F51" i="1"/>
  <c r="G50" i="1"/>
  <c r="F50" i="1"/>
  <c r="L49" i="1" a="1"/>
  <c r="L49" i="1" s="1"/>
  <c r="K49" i="1" a="1"/>
  <c r="K49" i="1" s="1"/>
  <c r="G49" i="1"/>
  <c r="F49" i="1"/>
  <c r="L48" i="1" a="1"/>
  <c r="L48" i="1" s="1"/>
  <c r="K48" i="1" a="1"/>
  <c r="K48" i="1" s="1"/>
  <c r="G48" i="1"/>
  <c r="F48" i="1"/>
  <c r="L47" i="1" a="1"/>
  <c r="L47" i="1" s="1"/>
  <c r="K47" i="1" a="1"/>
  <c r="K47" i="1" s="1"/>
  <c r="G47" i="1"/>
  <c r="F47" i="1"/>
  <c r="L46" i="1" a="1"/>
  <c r="L46" i="1" s="1"/>
  <c r="K46" i="1" a="1"/>
  <c r="K46" i="1" s="1"/>
  <c r="G46" i="1"/>
  <c r="F46" i="1"/>
  <c r="L45" i="1" a="1"/>
  <c r="L45" i="1" s="1"/>
  <c r="K45" i="1" a="1"/>
  <c r="K45" i="1" s="1"/>
  <c r="G45" i="1"/>
  <c r="F45" i="1"/>
  <c r="L44" i="1" a="1"/>
  <c r="L44" i="1" s="1"/>
  <c r="K44" i="1" a="1"/>
  <c r="K44" i="1" s="1"/>
  <c r="G44" i="1"/>
  <c r="F44" i="1"/>
  <c r="L43" i="1" a="1"/>
  <c r="L43" i="1" s="1"/>
  <c r="K43" i="1" a="1"/>
  <c r="K43" i="1" s="1"/>
  <c r="G43" i="1"/>
  <c r="F43" i="1"/>
  <c r="L42" i="1" a="1"/>
  <c r="L42" i="1" s="1"/>
  <c r="K42" i="1" a="1"/>
  <c r="K42" i="1" s="1"/>
  <c r="G42" i="1"/>
  <c r="F42" i="1"/>
  <c r="L41" i="1" a="1"/>
  <c r="L41" i="1" s="1"/>
  <c r="K41" i="1" a="1"/>
  <c r="K41" i="1" s="1"/>
  <c r="G41" i="1"/>
  <c r="F41" i="1"/>
  <c r="L40" i="1" a="1"/>
  <c r="L40" i="1" s="1"/>
  <c r="K40" i="1" a="1"/>
  <c r="K40" i="1" s="1"/>
  <c r="G40" i="1"/>
  <c r="F40" i="1"/>
  <c r="L39" i="1" a="1"/>
  <c r="L39" i="1" s="1"/>
  <c r="K39" i="1" a="1"/>
  <c r="K39" i="1" s="1"/>
  <c r="G39" i="1"/>
  <c r="F39" i="1"/>
  <c r="L38" i="1" a="1"/>
  <c r="L38" i="1" s="1"/>
  <c r="K38" i="1" a="1"/>
  <c r="K38" i="1" s="1"/>
  <c r="G38" i="1"/>
  <c r="F38" i="1"/>
  <c r="L37" i="1" a="1"/>
  <c r="L37" i="1" s="1"/>
  <c r="K37" i="1" a="1"/>
  <c r="K37" i="1" s="1"/>
  <c r="G37" i="1"/>
  <c r="F37" i="1"/>
  <c r="L36" i="1" a="1"/>
  <c r="L36" i="1" s="1"/>
  <c r="K36" i="1" a="1"/>
  <c r="K36" i="1" s="1"/>
  <c r="G36" i="1"/>
  <c r="F36" i="1"/>
  <c r="L35" i="1" a="1"/>
  <c r="L35" i="1" s="1"/>
  <c r="K35" i="1" a="1"/>
  <c r="K35" i="1" s="1"/>
  <c r="G35" i="1"/>
  <c r="F35" i="1"/>
  <c r="L34" i="1" a="1"/>
  <c r="L34" i="1" s="1"/>
  <c r="K34" i="1" a="1"/>
  <c r="K34" i="1" s="1"/>
  <c r="G34" i="1"/>
  <c r="F34" i="1"/>
  <c r="L33" i="1" a="1"/>
  <c r="L33" i="1" s="1"/>
  <c r="K33" i="1" a="1"/>
  <c r="K33" i="1" s="1"/>
  <c r="G33" i="1"/>
  <c r="F33" i="1"/>
  <c r="L32" i="1" a="1"/>
  <c r="L32" i="1" s="1"/>
  <c r="K32" i="1" a="1"/>
  <c r="K32" i="1" s="1"/>
  <c r="G32" i="1"/>
  <c r="F32" i="1"/>
  <c r="L31" i="1" a="1"/>
  <c r="L31" i="1" s="1"/>
  <c r="K31" i="1" a="1"/>
  <c r="K31" i="1" s="1"/>
  <c r="G31" i="1"/>
  <c r="F31" i="1"/>
  <c r="L30" i="1" a="1"/>
  <c r="L30" i="1" s="1"/>
  <c r="K30" i="1" a="1"/>
  <c r="K30" i="1" s="1"/>
  <c r="G30" i="1"/>
  <c r="F30" i="1"/>
  <c r="L29" i="1" a="1"/>
  <c r="L29" i="1" s="1"/>
  <c r="K29" i="1" a="1"/>
  <c r="K29" i="1" s="1"/>
  <c r="G29" i="1"/>
  <c r="F29" i="1"/>
  <c r="L28" i="1" a="1"/>
  <c r="L28" i="1" s="1"/>
  <c r="K28" i="1" a="1"/>
  <c r="K28" i="1" s="1"/>
  <c r="G28" i="1"/>
  <c r="F28" i="1"/>
  <c r="L27" i="1" a="1"/>
  <c r="L27" i="1" s="1"/>
  <c r="K27" i="1" a="1"/>
  <c r="K27" i="1" s="1"/>
  <c r="G27" i="1"/>
  <c r="F27" i="1"/>
  <c r="L26" i="1" a="1"/>
  <c r="L26" i="1" s="1"/>
  <c r="K26" i="1" a="1"/>
  <c r="K26" i="1" s="1"/>
  <c r="G26" i="1"/>
  <c r="F26" i="1"/>
  <c r="L25" i="1" a="1"/>
  <c r="L25" i="1" s="1"/>
  <c r="K25" i="1" a="1"/>
  <c r="K25" i="1" s="1"/>
  <c r="G25" i="1"/>
  <c r="F25" i="1"/>
  <c r="L24" i="1" a="1"/>
  <c r="L24" i="1" s="1"/>
  <c r="K24" i="1" a="1"/>
  <c r="K24" i="1" s="1"/>
  <c r="G24" i="1"/>
  <c r="F24" i="1"/>
  <c r="L23" i="1" a="1"/>
  <c r="L23" i="1" s="1"/>
  <c r="K23" i="1" a="1"/>
  <c r="K23" i="1" s="1"/>
  <c r="G23" i="1"/>
  <c r="F23" i="1"/>
  <c r="L22" i="1" a="1"/>
  <c r="L22" i="1" s="1"/>
  <c r="K22" i="1" a="1"/>
  <c r="K22" i="1" s="1"/>
  <c r="G22" i="1"/>
  <c r="F22" i="1"/>
  <c r="L21" i="1" a="1"/>
  <c r="L21" i="1" s="1"/>
  <c r="K21" i="1" a="1"/>
  <c r="K21" i="1" s="1"/>
  <c r="G21" i="1"/>
  <c r="F21" i="1"/>
  <c r="L20" i="1" a="1"/>
  <c r="L20" i="1" s="1"/>
  <c r="K20" i="1" a="1"/>
  <c r="K20" i="1" s="1"/>
  <c r="G20" i="1"/>
  <c r="F20" i="1"/>
  <c r="L19" i="1" a="1"/>
  <c r="L19" i="1" s="1"/>
  <c r="K19" i="1" a="1"/>
  <c r="K19" i="1" s="1"/>
  <c r="G19" i="1"/>
  <c r="F19" i="1"/>
  <c r="L18" i="1" a="1"/>
  <c r="L18" i="1" s="1"/>
  <c r="K18" i="1" a="1"/>
  <c r="K18" i="1" s="1"/>
  <c r="G18" i="1"/>
  <c r="F18" i="1"/>
  <c r="L17" i="1" a="1"/>
  <c r="L17" i="1" s="1"/>
  <c r="K17" i="1" a="1"/>
  <c r="K17" i="1" s="1"/>
  <c r="G17" i="1"/>
  <c r="F17" i="1"/>
  <c r="L16" i="1" a="1"/>
  <c r="L16" i="1" s="1"/>
  <c r="K16" i="1" a="1"/>
  <c r="K16" i="1" s="1"/>
  <c r="G16" i="1"/>
  <c r="F16" i="1"/>
  <c r="L15" i="1" a="1"/>
  <c r="L15" i="1" s="1"/>
  <c r="K15" i="1" a="1"/>
  <c r="K15" i="1" s="1"/>
  <c r="G15" i="1"/>
  <c r="F15" i="1"/>
  <c r="L14" i="1" a="1"/>
  <c r="L14" i="1" s="1"/>
  <c r="K14" i="1" a="1"/>
  <c r="K14" i="1" s="1"/>
  <c r="G14" i="1"/>
  <c r="F14" i="1"/>
  <c r="L13" i="1" a="1"/>
  <c r="L13" i="1" s="1"/>
  <c r="K13" i="1" a="1"/>
  <c r="K13" i="1" s="1"/>
  <c r="G13" i="1"/>
  <c r="F13" i="1"/>
  <c r="L12" i="1" a="1"/>
  <c r="L12" i="1" s="1"/>
  <c r="K12" i="1" a="1"/>
  <c r="K12" i="1" s="1"/>
  <c r="G12" i="1"/>
  <c r="F12" i="1"/>
  <c r="L11" i="1" a="1"/>
  <c r="L11" i="1" s="1"/>
  <c r="K11" i="1" a="1"/>
  <c r="K11" i="1" s="1"/>
  <c r="G11" i="1"/>
  <c r="F11" i="1"/>
  <c r="L10" i="1" a="1"/>
  <c r="L10" i="1" s="1"/>
  <c r="K10" i="1" a="1"/>
  <c r="K10" i="1" s="1"/>
  <c r="G10" i="1"/>
  <c r="F10" i="1"/>
  <c r="L9" i="1" a="1"/>
  <c r="L9" i="1" s="1"/>
  <c r="K9" i="1" a="1"/>
  <c r="K9" i="1" s="1"/>
  <c r="G9" i="1"/>
  <c r="F9" i="1"/>
  <c r="L8" i="1" a="1"/>
  <c r="L8" i="1" s="1"/>
  <c r="K8" i="1" a="1"/>
  <c r="K8" i="1" s="1"/>
  <c r="G8" i="1"/>
  <c r="F8" i="1"/>
  <c r="L7" i="1" a="1"/>
  <c r="L7" i="1" s="1"/>
  <c r="K7" i="1" a="1"/>
  <c r="K7" i="1" s="1"/>
  <c r="G7" i="1"/>
  <c r="F7" i="1"/>
  <c r="L6" i="1" a="1"/>
  <c r="L6" i="1" s="1"/>
  <c r="K6" i="1" a="1"/>
  <c r="K6" i="1" s="1"/>
  <c r="G6" i="1"/>
  <c r="F6" i="1"/>
  <c r="L5" i="1" a="1"/>
  <c r="L5" i="1" s="1"/>
  <c r="K5" i="1" a="1"/>
  <c r="K5" i="1" s="1"/>
  <c r="G5" i="1"/>
  <c r="F5" i="1"/>
  <c r="L4" i="1" a="1"/>
  <c r="L4" i="1" s="1"/>
  <c r="K4" i="1" a="1"/>
  <c r="K4" i="1" s="1"/>
  <c r="G4" i="1"/>
  <c r="F4" i="1"/>
  <c r="L3" i="1" a="1"/>
  <c r="L3" i="1" s="1"/>
  <c r="K3" i="1" a="1"/>
  <c r="K3" i="1" s="1"/>
  <c r="G3" i="1"/>
  <c r="F3" i="1"/>
  <c r="L2" i="1" a="1"/>
  <c r="L2" i="1" s="1"/>
  <c r="K2" i="1" a="1"/>
  <c r="K2" i="1" s="1"/>
  <c r="G2" i="1"/>
  <c r="F2" i="1"/>
</calcChain>
</file>

<file path=xl/sharedStrings.xml><?xml version="1.0" encoding="utf-8"?>
<sst xmlns="http://schemas.openxmlformats.org/spreadsheetml/2006/main" count="864" uniqueCount="19">
  <si>
    <t>Genetic line</t>
  </si>
  <si>
    <t>Treatment</t>
  </si>
  <si>
    <t>Replicate</t>
  </si>
  <si>
    <t>Time</t>
  </si>
  <si>
    <t>weight_g</t>
  </si>
  <si>
    <t>weight</t>
  </si>
  <si>
    <t>ln_weight_g</t>
  </si>
  <si>
    <t>SGR_per_day</t>
  </si>
  <si>
    <t>R2</t>
  </si>
  <si>
    <t>A</t>
  </si>
  <si>
    <t>CF</t>
  </si>
  <si>
    <t>B</t>
  </si>
  <si>
    <t>C</t>
  </si>
  <si>
    <t>D</t>
  </si>
  <si>
    <t>E</t>
  </si>
  <si>
    <t>WT</t>
  </si>
  <si>
    <t>SWT</t>
  </si>
  <si>
    <t>SWS</t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</si>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</sst>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79"/>
  <sheetViews>
    <sheetView tabSelected="1" workbookViewId="0">
      <selection activeCell="Q9" sqref="Q9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0</v>
      </c>
      <c r="I1" t="s">
        <v>1</v>
      </c>
      <c r="J1" t="s">
        <v>2</v>
      </c>
      <c r="K1" t="s">
        <v>7</v>
      </c>
      <c r="L1" t="s">
        <v>8</v>
      </c>
    </row>
    <row r="2" spans="1:12" x14ac:dyDescent="0.3">
      <c r="A2" t="s">
        <v>9</v>
      </c>
      <c r="B2" t="s">
        <v>10</v>
      </c>
      <c r="C2">
        <v>1</v>
      </c>
      <c r="D2">
        <v>0</v>
      </c>
      <c r="E2">
        <v>1.523333E-3</v>
      </c>
      <c r="F2">
        <f>E2*1000</f>
        <v>1.523333</v>
      </c>
      <c r="G2">
        <f>LN(E2)</f>
        <v>-6.4868545815625378</v>
      </c>
      <c r="H2" t="s">
        <v>9</v>
      </c>
      <c r="I2" t="s">
        <v>10</v>
      </c>
      <c r="J2">
        <v>1</v>
      </c>
      <c r="K2">
        <f t="array" ref="K2">SLOPE(
  IF(($A$2:$A$9999=H2)*($B$2:$B$9999=I2)*($C$2:$C$9999=J2), LN($E$2:$E$9999)),
  IF(($A$2:$A$9999=H2)*($B$2:$B$9999=I2)*($C$2:$C$9999=J2), $D$2:$D$9999)
)</f>
        <v>0.38756973735388794</v>
      </c>
      <c r="L2">
        <f t="array" ref="L2">RSQ(
  IF(($A$2:$A$9999=H2)*($B$2:$B$9999=I2)*($C$2:$C$9999=J2)*($D$2:$D$9999&gt;=2)*($D$2:$D$9999&lt;=10), $F$2:$F$9999),
  IF(($A$2:$A$9999=H2)*($B$2:$B$9999=I2)*($C$2:$C$9999=J2)*($D$2:$D$9999&gt;=2)*($D$2:$D$9999&lt;=10), $D$2:$D$9999)
)</f>
        <v>0.91925508487734697</v>
      </c>
    </row>
    <row r="3" spans="1:12" x14ac:dyDescent="0.3">
      <c r="A3" t="s">
        <v>9</v>
      </c>
      <c r="B3" t="s">
        <v>10</v>
      </c>
      <c r="C3">
        <v>2</v>
      </c>
      <c r="D3">
        <v>0</v>
      </c>
      <c r="E3">
        <v>2.0600000000000002E-3</v>
      </c>
      <c r="F3">
        <f t="shared" ref="F3:F66" si="0">E3*1000</f>
        <v>2.06</v>
      </c>
      <c r="G3">
        <f t="shared" ref="G3:G66" si="1">LN(E3)</f>
        <v>-6.1850492961806474</v>
      </c>
      <c r="H3" t="s">
        <v>9</v>
      </c>
      <c r="I3" t="s">
        <v>10</v>
      </c>
      <c r="J3">
        <v>2</v>
      </c>
      <c r="K3">
        <f t="array" ref="K3">SLOPE(
  IF(($A$2:$A$9999=H3)*($B$2:$B$9999=I3)*($C$2:$C$9999=J3), LN($E$2:$E$9999)),
  IF(($A$2:$A$9999=H3)*($B$2:$B$9999=I3)*($C$2:$C$9999=J3), $D$2:$D$9999)
)</f>
        <v>0.37064388448518248</v>
      </c>
      <c r="L3">
        <f t="array" ref="L3">RSQ(
  IF(($A$2:$A$9999=H3)*($B$2:$B$9999=I3)*($C$2:$C$9999=J3)*($D$2:$D$9999&gt;=2)*($D$2:$D$9999&lt;=10), $F$2:$F$9999),
  IF(($A$2:$A$9999=H3)*($B$2:$B$9999=I3)*($C$2:$C$9999=J3)*($D$2:$D$9999&gt;=2)*($D$2:$D$9999&lt;=10), $D$2:$D$9999)
)</f>
        <v>0.95987666911890657</v>
      </c>
    </row>
    <row r="4" spans="1:12" x14ac:dyDescent="0.3">
      <c r="A4" t="s">
        <v>9</v>
      </c>
      <c r="B4" t="s">
        <v>10</v>
      </c>
      <c r="C4">
        <v>3</v>
      </c>
      <c r="D4">
        <v>0</v>
      </c>
      <c r="E4">
        <v>1.6566669999999999E-3</v>
      </c>
      <c r="F4">
        <f t="shared" si="0"/>
        <v>1.6566669999999999</v>
      </c>
      <c r="G4">
        <f t="shared" si="1"/>
        <v>-6.4029475263344864</v>
      </c>
      <c r="H4" t="s">
        <v>9</v>
      </c>
      <c r="I4" t="s">
        <v>10</v>
      </c>
      <c r="J4">
        <v>3</v>
      </c>
      <c r="K4">
        <f t="array" ref="K4">SLOPE(
  IF(($A$2:$A$9999=H4)*($B$2:$B$9999=I4)*($C$2:$C$9999=J4), LN($E$2:$E$9999)),
  IF(($A$2:$A$9999=H4)*($B$2:$B$9999=I4)*($C$2:$C$9999=J4), $D$2:$D$9999)
)</f>
        <v>0.3716022923425546</v>
      </c>
      <c r="L4">
        <f t="array" ref="L4">RSQ(
  IF(($A$2:$A$9999=H4)*($B$2:$B$9999=I4)*($C$2:$C$9999=J4)*($D$2:$D$9999&gt;=2)*($D$2:$D$9999&lt;=10), $F$2:$F$9999),
  IF(($A$2:$A$9999=H4)*($B$2:$B$9999=I4)*($C$2:$C$9999=J4)*($D$2:$D$9999&gt;=2)*($D$2:$D$9999&lt;=10), $D$2:$D$9999)
)</f>
        <v>0.95490284946594006</v>
      </c>
    </row>
    <row r="5" spans="1:12" x14ac:dyDescent="0.3">
      <c r="A5" t="s">
        <v>9</v>
      </c>
      <c r="B5" t="s">
        <v>10</v>
      </c>
      <c r="C5">
        <v>1</v>
      </c>
      <c r="D5">
        <v>2</v>
      </c>
      <c r="E5">
        <v>7.1999999999999998E-3</v>
      </c>
      <c r="F5">
        <f t="shared" si="0"/>
        <v>7.2</v>
      </c>
      <c r="G5">
        <f t="shared" si="1"/>
        <v>-4.9336742529601274</v>
      </c>
      <c r="H5" t="s">
        <v>11</v>
      </c>
      <c r="I5" t="s">
        <v>10</v>
      </c>
      <c r="J5">
        <v>1</v>
      </c>
      <c r="K5">
        <f t="array" ref="K5">SLOPE(
  IF(($A$2:$A$9999=H5)*($B$2:$B$9999=I5)*($C$2:$C$9999=J5), LN($E$2:$E$9999)),
  IF(($A$2:$A$9999=H5)*($B$2:$B$9999=I5)*($C$2:$C$9999=J5), $D$2:$D$9999)
)</f>
        <v>0.40431615806435239</v>
      </c>
      <c r="L5">
        <f t="array" ref="L5">RSQ(
  IF(($A$2:$A$9999=H5)*($B$2:$B$9999=I5)*($C$2:$C$9999=J5)*($D$2:$D$9999&gt;=2)*($D$2:$D$9999&lt;=10), $F$2:$F$9999),
  IF(($A$2:$A$9999=H5)*($B$2:$B$9999=I5)*($C$2:$C$9999=J5)*($D$2:$D$9999&gt;=2)*($D$2:$D$9999&lt;=10), $D$2:$D$9999)
)</f>
        <v>0.90350403489926878</v>
      </c>
    </row>
    <row r="6" spans="1:12" x14ac:dyDescent="0.3">
      <c r="A6" t="s">
        <v>9</v>
      </c>
      <c r="B6" t="s">
        <v>10</v>
      </c>
      <c r="C6">
        <v>2</v>
      </c>
      <c r="D6">
        <v>2</v>
      </c>
      <c r="E6">
        <v>5.5999999999999999E-3</v>
      </c>
      <c r="F6">
        <f t="shared" si="0"/>
        <v>5.6</v>
      </c>
      <c r="G6">
        <f t="shared" si="1"/>
        <v>-5.1849886812410331</v>
      </c>
      <c r="H6" t="s">
        <v>11</v>
      </c>
      <c r="I6" t="s">
        <v>10</v>
      </c>
      <c r="J6">
        <v>2</v>
      </c>
      <c r="K6">
        <f t="array" ref="K6">SLOPE(
  IF(($A$2:$A$9999=H6)*($B$2:$B$9999=I6)*($C$2:$C$9999=J6), LN($E$2:$E$9999)),
  IF(($A$2:$A$9999=H6)*($B$2:$B$9999=I6)*($C$2:$C$9999=J6), $D$2:$D$9999)
)</f>
        <v>0.38409001336696996</v>
      </c>
      <c r="L6">
        <f t="array" ref="L6">RSQ(
  IF(($A$2:$A$9999=H6)*($B$2:$B$9999=I6)*($C$2:$C$9999=J6)*($D$2:$D$9999&gt;=2)*($D$2:$D$9999&lt;=10), $F$2:$F$9999),
  IF(($A$2:$A$9999=H6)*($B$2:$B$9999=I6)*($C$2:$C$9999=J6)*($D$2:$D$9999&gt;=2)*($D$2:$D$9999&lt;=10), $D$2:$D$9999)
)</f>
        <v>0.9804336161858288</v>
      </c>
    </row>
    <row r="7" spans="1:12" x14ac:dyDescent="0.3">
      <c r="A7" t="s">
        <v>9</v>
      </c>
      <c r="B7" t="s">
        <v>10</v>
      </c>
      <c r="C7">
        <v>3</v>
      </c>
      <c r="D7">
        <v>2</v>
      </c>
      <c r="E7">
        <v>7.7999999999999996E-3</v>
      </c>
      <c r="F7">
        <f t="shared" si="0"/>
        <v>7.8</v>
      </c>
      <c r="G7">
        <f t="shared" si="1"/>
        <v>-4.853631545286591</v>
      </c>
      <c r="H7" t="s">
        <v>11</v>
      </c>
      <c r="I7" t="s">
        <v>10</v>
      </c>
      <c r="J7">
        <v>3</v>
      </c>
      <c r="K7">
        <f t="array" ref="K7">SLOPE(
  IF(($A$2:$A$9999=H7)*($B$2:$B$9999=I7)*($C$2:$C$9999=J7), LN($E$2:$E$9999)),
  IF(($A$2:$A$9999=H7)*($B$2:$B$9999=I7)*($C$2:$C$9999=J7), $D$2:$D$9999)
)</f>
        <v>0.36493722453085553</v>
      </c>
      <c r="L7">
        <f t="array" ref="L7">RSQ(
  IF(($A$2:$A$9999=H7)*($B$2:$B$9999=I7)*($C$2:$C$9999=J7)*($D$2:$D$9999&gt;=2)*($D$2:$D$9999&lt;=10), $F$2:$F$9999),
  IF(($A$2:$A$9999=H7)*($B$2:$B$9999=I7)*($C$2:$C$9999=J7)*($D$2:$D$9999&gt;=2)*($D$2:$D$9999&lt;=10), $D$2:$D$9999)
)</f>
        <v>0.98077303445473119</v>
      </c>
    </row>
    <row r="8" spans="1:12" x14ac:dyDescent="0.3">
      <c r="A8" t="s">
        <v>9</v>
      </c>
      <c r="B8" t="s">
        <v>10</v>
      </c>
      <c r="C8">
        <v>1</v>
      </c>
      <c r="D8">
        <v>4</v>
      </c>
      <c r="E8">
        <v>1.89E-2</v>
      </c>
      <c r="F8">
        <f t="shared" si="0"/>
        <v>18.899999999999999</v>
      </c>
      <c r="G8">
        <f t="shared" si="1"/>
        <v>-3.9685933569165401</v>
      </c>
      <c r="H8" t="s">
        <v>12</v>
      </c>
      <c r="I8" t="s">
        <v>10</v>
      </c>
      <c r="J8">
        <v>1</v>
      </c>
      <c r="K8">
        <f t="array" ref="K8">SLOPE(
  IF(($A$2:$A$9999=H8)*($B$2:$B$9999=I8)*($C$2:$C$9999=J8), LN($E$2:$E$9999)),
  IF(($A$2:$A$9999=H8)*($B$2:$B$9999=I8)*($C$2:$C$9999=J8), $D$2:$D$9999)
)</f>
        <v>0.35029621569234798</v>
      </c>
      <c r="L8">
        <f t="array" ref="L8">RSQ(
  IF(($A$2:$A$9999=H8)*($B$2:$B$9999=I8)*($C$2:$C$9999=J8)*($D$2:$D$9999&gt;=2)*($D$2:$D$9999&lt;=10), $F$2:$F$9999),
  IF(($A$2:$A$9999=H8)*($B$2:$B$9999=I8)*($C$2:$C$9999=J8)*($D$2:$D$9999&gt;=2)*($D$2:$D$9999&lt;=10), $D$2:$D$9999)
)</f>
        <v>0.96653204783801194</v>
      </c>
    </row>
    <row r="9" spans="1:12" x14ac:dyDescent="0.3">
      <c r="A9" t="s">
        <v>9</v>
      </c>
      <c r="B9" t="s">
        <v>10</v>
      </c>
      <c r="C9">
        <v>2</v>
      </c>
      <c r="D9">
        <v>4</v>
      </c>
      <c r="E9">
        <v>2.7E-2</v>
      </c>
      <c r="F9">
        <f t="shared" si="0"/>
        <v>27</v>
      </c>
      <c r="G9">
        <f t="shared" si="1"/>
        <v>-3.6119184129778081</v>
      </c>
      <c r="H9" t="s">
        <v>12</v>
      </c>
      <c r="I9" t="s">
        <v>10</v>
      </c>
      <c r="J9">
        <v>2</v>
      </c>
      <c r="K9">
        <f t="array" ref="K9">SLOPE(
  IF(($A$2:$A$9999=H9)*($B$2:$B$9999=I9)*($C$2:$C$9999=J9), LN($E$2:$E$9999)),
  IF(($A$2:$A$9999=H9)*($B$2:$B$9999=I9)*($C$2:$C$9999=J9), $D$2:$D$9999)
)</f>
        <v>0.3487845971409938</v>
      </c>
      <c r="L9">
        <f t="array" ref="L9">RSQ(
  IF(($A$2:$A$9999=H9)*($B$2:$B$9999=I9)*($C$2:$C$9999=J9)*($D$2:$D$9999&gt;=2)*($D$2:$D$9999&lt;=10), $F$2:$F$9999),
  IF(($A$2:$A$9999=H9)*($B$2:$B$9999=I9)*($C$2:$C$9999=J9)*($D$2:$D$9999&gt;=2)*($D$2:$D$9999&lt;=10), $D$2:$D$9999)
)</f>
        <v>0.96340337359360984</v>
      </c>
    </row>
    <row r="10" spans="1:12" x14ac:dyDescent="0.3">
      <c r="A10" t="s">
        <v>9</v>
      </c>
      <c r="B10" t="s">
        <v>10</v>
      </c>
      <c r="C10">
        <v>3</v>
      </c>
      <c r="D10">
        <v>4</v>
      </c>
      <c r="E10">
        <v>2.7900000000000001E-2</v>
      </c>
      <c r="F10">
        <f t="shared" si="0"/>
        <v>27.900000000000002</v>
      </c>
      <c r="G10">
        <f t="shared" si="1"/>
        <v>-3.5791285901548169</v>
      </c>
      <c r="H10" t="s">
        <v>12</v>
      </c>
      <c r="I10" t="s">
        <v>10</v>
      </c>
      <c r="J10">
        <v>3</v>
      </c>
      <c r="K10">
        <f t="array" ref="K10">SLOPE(
  IF(($A$2:$A$9999=H10)*($B$2:$B$9999=I10)*($C$2:$C$9999=J10), LN($E$2:$E$9999)),
  IF(($A$2:$A$9999=H10)*($B$2:$B$9999=I10)*($C$2:$C$9999=J10), $D$2:$D$9999)
)</f>
        <v>0.3555379999699857</v>
      </c>
      <c r="L10">
        <f t="array" ref="L10">RSQ(
  IF(($A$2:$A$9999=H10)*($B$2:$B$9999=I10)*($C$2:$C$9999=J10)*($D$2:$D$9999&gt;=2)*($D$2:$D$9999&lt;=10), $F$2:$F$9999),
  IF(($A$2:$A$9999=H10)*($B$2:$B$9999=I10)*($C$2:$C$9999=J10)*($D$2:$D$9999&gt;=2)*($D$2:$D$9999&lt;=10), $D$2:$D$9999)
)</f>
        <v>0.93456207634297361</v>
      </c>
    </row>
    <row r="11" spans="1:12" x14ac:dyDescent="0.3">
      <c r="A11" t="s">
        <v>9</v>
      </c>
      <c r="B11" t="s">
        <v>10</v>
      </c>
      <c r="C11">
        <v>1</v>
      </c>
      <c r="D11">
        <v>6</v>
      </c>
      <c r="E11">
        <v>7.0199999999999999E-2</v>
      </c>
      <c r="F11">
        <f t="shared" si="0"/>
        <v>70.2</v>
      </c>
      <c r="G11">
        <f t="shared" si="1"/>
        <v>-2.6564069679503715</v>
      </c>
      <c r="H11" t="s">
        <v>13</v>
      </c>
      <c r="I11" t="s">
        <v>10</v>
      </c>
      <c r="J11">
        <v>1</v>
      </c>
      <c r="K11">
        <f t="array" ref="K11">SLOPE(
  IF(($A$2:$A$9999=H11)*($B$2:$B$9999=I11)*($C$2:$C$9999=J11), LN($E$2:$E$9999)),
  IF(($A$2:$A$9999=H11)*($B$2:$B$9999=I11)*($C$2:$C$9999=J11), $D$2:$D$9999)
)</f>
        <v>0.32968582475335112</v>
      </c>
      <c r="L11">
        <f t="array" ref="L11">RSQ(
  IF(($A$2:$A$9999=H11)*($B$2:$B$9999=I11)*($C$2:$C$9999=J11)*($D$2:$D$9999&gt;=2)*($D$2:$D$9999&lt;=10), $F$2:$F$9999),
  IF(($A$2:$A$9999=H11)*($B$2:$B$9999=I11)*($C$2:$C$9999=J11)*($D$2:$D$9999&gt;=2)*($D$2:$D$9999&lt;=10), $D$2:$D$9999)
)</f>
        <v>0.97085978095884873</v>
      </c>
    </row>
    <row r="12" spans="1:12" x14ac:dyDescent="0.3">
      <c r="A12" t="s">
        <v>9</v>
      </c>
      <c r="B12" t="s">
        <v>10</v>
      </c>
      <c r="C12">
        <v>2</v>
      </c>
      <c r="D12">
        <v>6</v>
      </c>
      <c r="E12">
        <v>9.2299999999999993E-2</v>
      </c>
      <c r="F12">
        <f t="shared" si="0"/>
        <v>92.3</v>
      </c>
      <c r="G12">
        <f t="shared" si="1"/>
        <v>-2.3827111374733305</v>
      </c>
      <c r="H12" t="s">
        <v>13</v>
      </c>
      <c r="I12" t="s">
        <v>10</v>
      </c>
      <c r="J12">
        <v>2</v>
      </c>
      <c r="K12">
        <f t="array" ref="K12">SLOPE(
  IF(($A$2:$A$9999=H12)*($B$2:$B$9999=I12)*($C$2:$C$9999=J12), LN($E$2:$E$9999)),
  IF(($A$2:$A$9999=H12)*($B$2:$B$9999=I12)*($C$2:$C$9999=J12), $D$2:$D$9999)
)</f>
        <v>0.32719578847104563</v>
      </c>
      <c r="L12">
        <f t="array" ref="L12">RSQ(
  IF(($A$2:$A$9999=H12)*($B$2:$B$9999=I12)*($C$2:$C$9999=J12)*($D$2:$D$9999&gt;=2)*($D$2:$D$9999&lt;=10), $F$2:$F$9999),
  IF(($A$2:$A$9999=H12)*($B$2:$B$9999=I12)*($C$2:$C$9999=J12)*($D$2:$D$9999&gt;=2)*($D$2:$D$9999&lt;=10), $D$2:$D$9999)
)</f>
        <v>0.96254784598116094</v>
      </c>
    </row>
    <row r="13" spans="1:12" x14ac:dyDescent="0.3">
      <c r="A13" t="s">
        <v>9</v>
      </c>
      <c r="B13" t="s">
        <v>10</v>
      </c>
      <c r="C13">
        <v>3</v>
      </c>
      <c r="D13">
        <v>6</v>
      </c>
      <c r="E13">
        <v>9.06E-2</v>
      </c>
      <c r="F13">
        <f t="shared" si="0"/>
        <v>90.6</v>
      </c>
      <c r="G13">
        <f t="shared" si="1"/>
        <v>-2.4013010659332035</v>
      </c>
      <c r="H13" t="s">
        <v>13</v>
      </c>
      <c r="I13" t="s">
        <v>10</v>
      </c>
      <c r="J13">
        <v>3</v>
      </c>
      <c r="K13">
        <f t="array" ref="K13">SLOPE(
  IF(($A$2:$A$9999=H13)*($B$2:$B$9999=I13)*($C$2:$C$9999=J13), LN($E$2:$E$9999)),
  IF(($A$2:$A$9999=H13)*($B$2:$B$9999=I13)*($C$2:$C$9999=J13), $D$2:$D$9999)
)</f>
        <v>0.34810394290016494</v>
      </c>
      <c r="L13">
        <f t="array" ref="L13">RSQ(
  IF(($A$2:$A$9999=H13)*($B$2:$B$9999=I13)*($C$2:$C$9999=J13)*($D$2:$D$9999&gt;=2)*($D$2:$D$9999&lt;=10), $F$2:$F$9999),
  IF(($A$2:$A$9999=H13)*($B$2:$B$9999=I13)*($C$2:$C$9999=J13)*($D$2:$D$9999&gt;=2)*($D$2:$D$9999&lt;=10), $D$2:$D$9999)
)</f>
        <v>0.94497827874221874</v>
      </c>
    </row>
    <row r="14" spans="1:12" x14ac:dyDescent="0.3">
      <c r="A14" t="s">
        <v>9</v>
      </c>
      <c r="B14" t="s">
        <v>10</v>
      </c>
      <c r="C14">
        <v>1</v>
      </c>
      <c r="D14">
        <v>8</v>
      </c>
      <c r="E14">
        <v>0.19420000000000001</v>
      </c>
      <c r="F14">
        <f t="shared" si="0"/>
        <v>194.20000000000002</v>
      </c>
      <c r="G14">
        <f t="shared" si="1"/>
        <v>-1.6388667231249125</v>
      </c>
      <c r="H14" t="s">
        <v>14</v>
      </c>
      <c r="I14" t="s">
        <v>10</v>
      </c>
      <c r="J14">
        <v>1</v>
      </c>
      <c r="K14">
        <f t="array" ref="K14">SLOPE(
  IF(($A$2:$A$9999=H14)*($B$2:$B$9999=I14)*($C$2:$C$9999=J14), LN($E$2:$E$9999)),
  IF(($A$2:$A$9999=H14)*($B$2:$B$9999=I14)*($C$2:$C$9999=J14), $D$2:$D$9999)
)</f>
        <v>0.3723240756126045</v>
      </c>
      <c r="L14">
        <f t="array" ref="L14">RSQ(
  IF(($A$2:$A$9999=H14)*($B$2:$B$9999=I14)*($C$2:$C$9999=J14)*($D$2:$D$9999&gt;=2)*($D$2:$D$9999&lt;=10), $F$2:$F$9999),
  IF(($A$2:$A$9999=H14)*($B$2:$B$9999=I14)*($C$2:$C$9999=J14)*($D$2:$D$9999&gt;=2)*($D$2:$D$9999&lt;=10), $D$2:$D$9999)
)</f>
        <v>0.91175788018909232</v>
      </c>
    </row>
    <row r="15" spans="1:12" x14ac:dyDescent="0.3">
      <c r="A15" t="s">
        <v>9</v>
      </c>
      <c r="B15" t="s">
        <v>10</v>
      </c>
      <c r="C15">
        <v>2</v>
      </c>
      <c r="D15">
        <v>8</v>
      </c>
      <c r="E15">
        <v>0.19689999999999999</v>
      </c>
      <c r="F15">
        <f t="shared" si="0"/>
        <v>196.9</v>
      </c>
      <c r="G15">
        <f t="shared" si="1"/>
        <v>-1.6250592933370573</v>
      </c>
      <c r="H15" t="s">
        <v>14</v>
      </c>
      <c r="I15" t="s">
        <v>10</v>
      </c>
      <c r="J15">
        <v>2</v>
      </c>
      <c r="K15">
        <f t="array" ref="K15">SLOPE(
  IF(($A$2:$A$9999=H15)*($B$2:$B$9999=I15)*($C$2:$C$9999=J15), LN($E$2:$E$9999)),
  IF(($A$2:$A$9999=H15)*($B$2:$B$9999=I15)*($C$2:$C$9999=J15), $D$2:$D$9999)
)</f>
        <v>0.37976729308008267</v>
      </c>
      <c r="L15">
        <f t="array" ref="L15">RSQ(
  IF(($A$2:$A$9999=H15)*($B$2:$B$9999=I15)*($C$2:$C$9999=J15)*($D$2:$D$9999&gt;=2)*($D$2:$D$9999&lt;=10), $F$2:$F$9999),
  IF(($A$2:$A$9999=H15)*($B$2:$B$9999=I15)*($C$2:$C$9999=J15)*($D$2:$D$9999&gt;=2)*($D$2:$D$9999&lt;=10), $D$2:$D$9999)
)</f>
        <v>0.90865355390960412</v>
      </c>
    </row>
    <row r="16" spans="1:12" x14ac:dyDescent="0.3">
      <c r="A16" t="s">
        <v>9</v>
      </c>
      <c r="B16" t="s">
        <v>10</v>
      </c>
      <c r="C16">
        <v>3</v>
      </c>
      <c r="D16">
        <v>8</v>
      </c>
      <c r="E16">
        <v>0.18840000000000001</v>
      </c>
      <c r="F16">
        <f t="shared" si="0"/>
        <v>188.4</v>
      </c>
      <c r="G16">
        <f t="shared" si="1"/>
        <v>-1.6691879168398742</v>
      </c>
      <c r="H16" t="s">
        <v>14</v>
      </c>
      <c r="I16" t="s">
        <v>10</v>
      </c>
      <c r="J16">
        <v>3</v>
      </c>
      <c r="K16">
        <f t="array" ref="K16">SLOPE(
  IF(($A$2:$A$9999=H16)*($B$2:$B$9999=I16)*($C$2:$C$9999=J16), LN($E$2:$E$9999)),
  IF(($A$2:$A$9999=H16)*($B$2:$B$9999=I16)*($C$2:$C$9999=J16), $D$2:$D$9999)
)</f>
        <v>0.37305983125061681</v>
      </c>
      <c r="L16">
        <f t="array" ref="L16">RSQ(
  IF(($A$2:$A$9999=H16)*($B$2:$B$9999=I16)*($C$2:$C$9999=J16)*($D$2:$D$9999&gt;=2)*($D$2:$D$9999&lt;=10), $F$2:$F$9999),
  IF(($A$2:$A$9999=H16)*($B$2:$B$9999=I16)*($C$2:$C$9999=J16)*($D$2:$D$9999&gt;=2)*($D$2:$D$9999&lt;=10), $D$2:$D$9999)
)</f>
        <v>0.92138451350092221</v>
      </c>
    </row>
    <row r="17" spans="1:12" x14ac:dyDescent="0.3">
      <c r="A17" t="s">
        <v>9</v>
      </c>
      <c r="B17" t="s">
        <v>10</v>
      </c>
      <c r="C17">
        <v>1</v>
      </c>
      <c r="D17">
        <v>10</v>
      </c>
      <c r="E17">
        <v>0.28839999999999999</v>
      </c>
      <c r="F17">
        <f t="shared" si="0"/>
        <v>288.39999999999998</v>
      </c>
      <c r="G17">
        <f t="shared" si="1"/>
        <v>-1.2434068735713431</v>
      </c>
      <c r="H17" t="s">
        <v>15</v>
      </c>
      <c r="I17" t="s">
        <v>10</v>
      </c>
      <c r="J17">
        <v>1</v>
      </c>
      <c r="K17">
        <f t="array" ref="K17">SLOPE(
  IF(($A$2:$A$9999=H17)*($B$2:$B$9999=I17)*($C$2:$C$9999=J17), LN($E$2:$E$9999)),
  IF(($A$2:$A$9999=H17)*($B$2:$B$9999=I17)*($C$2:$C$9999=J17), $D$2:$D$9999)
)</f>
        <v>0.37233248507516975</v>
      </c>
      <c r="L17">
        <f t="array" ref="L17">RSQ(
  IF(($A$2:$A$9999=H17)*($B$2:$B$9999=I17)*($C$2:$C$9999=J17)*($D$2:$D$9999&gt;=2)*($D$2:$D$9999&lt;=10), $F$2:$F$9999),
  IF(($A$2:$A$9999=H17)*($B$2:$B$9999=I17)*($C$2:$C$9999=J17)*($D$2:$D$9999&gt;=2)*($D$2:$D$9999&lt;=10), $D$2:$D$9999)
)</f>
        <v>0.97384410096606178</v>
      </c>
    </row>
    <row r="18" spans="1:12" x14ac:dyDescent="0.3">
      <c r="A18" t="s">
        <v>9</v>
      </c>
      <c r="B18" t="s">
        <v>10</v>
      </c>
      <c r="C18">
        <v>2</v>
      </c>
      <c r="D18">
        <v>10</v>
      </c>
      <c r="E18">
        <v>0.26569999999999999</v>
      </c>
      <c r="F18">
        <f t="shared" si="0"/>
        <v>265.7</v>
      </c>
      <c r="G18">
        <f t="shared" si="1"/>
        <v>-1.3253874262163692</v>
      </c>
      <c r="H18" t="s">
        <v>15</v>
      </c>
      <c r="I18" t="s">
        <v>10</v>
      </c>
      <c r="J18">
        <v>2</v>
      </c>
      <c r="K18">
        <f t="array" ref="K18">SLOPE(
  IF(($A$2:$A$9999=H18)*($B$2:$B$9999=I18)*($C$2:$C$9999=J18), LN($E$2:$E$9999)),
  IF(($A$2:$A$9999=H18)*($B$2:$B$9999=I18)*($C$2:$C$9999=J18), $D$2:$D$9999)
)</f>
        <v>0.39139451509151302</v>
      </c>
      <c r="L18">
        <f t="array" ref="L18">RSQ(
  IF(($A$2:$A$9999=H18)*($B$2:$B$9999=I18)*($C$2:$C$9999=J18)*($D$2:$D$9999&gt;=2)*($D$2:$D$9999&lt;=10), $F$2:$F$9999),
  IF(($A$2:$A$9999=H18)*($B$2:$B$9999=I18)*($C$2:$C$9999=J18)*($D$2:$D$9999&gt;=2)*($D$2:$D$9999&lt;=10), $D$2:$D$9999)
)</f>
        <v>0.96214156335175505</v>
      </c>
    </row>
    <row r="19" spans="1:12" x14ac:dyDescent="0.3">
      <c r="A19" t="s">
        <v>9</v>
      </c>
      <c r="B19" t="s">
        <v>10</v>
      </c>
      <c r="C19">
        <v>3</v>
      </c>
      <c r="D19">
        <v>10</v>
      </c>
      <c r="E19">
        <v>0.27279999999999999</v>
      </c>
      <c r="F19">
        <f t="shared" si="0"/>
        <v>272.8</v>
      </c>
      <c r="G19">
        <f t="shared" si="1"/>
        <v>-1.29901635301283</v>
      </c>
      <c r="H19" t="s">
        <v>15</v>
      </c>
      <c r="I19" t="s">
        <v>10</v>
      </c>
      <c r="J19">
        <v>3</v>
      </c>
      <c r="K19">
        <f t="array" ref="K19">SLOPE(
  IF(($A$2:$A$9999=H19)*($B$2:$B$9999=I19)*($C$2:$C$9999=J19), LN($E$2:$E$9999)),
  IF(($A$2:$A$9999=H19)*($B$2:$B$9999=I19)*($C$2:$C$9999=J19), $D$2:$D$9999)
)</f>
        <v>0.38576073916162007</v>
      </c>
      <c r="L19">
        <f t="array" ref="L19">RSQ(
  IF(($A$2:$A$9999=H19)*($B$2:$B$9999=I19)*($C$2:$C$9999=J19)*($D$2:$D$9999&gt;=2)*($D$2:$D$9999&lt;=10), $F$2:$F$9999),
  IF(($A$2:$A$9999=H19)*($B$2:$B$9999=I19)*($C$2:$C$9999=J19)*($D$2:$D$9999&gt;=2)*($D$2:$D$9999&lt;=10), $D$2:$D$9999)
)</f>
        <v>0.9691191341138562</v>
      </c>
    </row>
    <row r="20" spans="1:12" x14ac:dyDescent="0.3">
      <c r="A20" t="s">
        <v>9</v>
      </c>
      <c r="B20" t="s">
        <v>10</v>
      </c>
      <c r="C20">
        <v>1</v>
      </c>
      <c r="D20">
        <v>12</v>
      </c>
      <c r="E20">
        <v>0.31940000000000002</v>
      </c>
      <c r="F20">
        <f t="shared" si="0"/>
        <v>319.40000000000003</v>
      </c>
      <c r="G20">
        <f t="shared" si="1"/>
        <v>-1.141311043201225</v>
      </c>
      <c r="H20" t="s">
        <v>16</v>
      </c>
      <c r="I20" t="s">
        <v>10</v>
      </c>
      <c r="J20">
        <v>1</v>
      </c>
      <c r="K20">
        <f t="array" ref="K20">SLOPE(
  IF(($A$2:$A$9999=H20)*($B$2:$B$9999=I20)*($C$2:$C$9999=J20), LN($E$2:$E$9999)),
  IF(($A$2:$A$9999=H20)*($B$2:$B$9999=I20)*($C$2:$C$9999=J20), $D$2:$D$9999)
)</f>
        <v>0.43750202484493589</v>
      </c>
      <c r="L20">
        <f t="array" ref="L20">RSQ(
  IF(($A$2:$A$9999=H20)*($B$2:$B$9999=I20)*($C$2:$C$9999=J20)*($D$2:$D$9999&gt;=2)*($D$2:$D$9999&lt;=10), $F$2:$F$9999),
  IF(($A$2:$A$9999=H20)*($B$2:$B$9999=I20)*($C$2:$C$9999=J20)*($D$2:$D$9999&gt;=2)*($D$2:$D$9999&lt;=10), $D$2:$D$9999)
)</f>
        <v>0.97290480741764718</v>
      </c>
    </row>
    <row r="21" spans="1:12" x14ac:dyDescent="0.3">
      <c r="A21" t="s">
        <v>9</v>
      </c>
      <c r="B21" t="s">
        <v>10</v>
      </c>
      <c r="C21">
        <v>2</v>
      </c>
      <c r="D21">
        <v>12</v>
      </c>
      <c r="E21">
        <v>0.29820000000000002</v>
      </c>
      <c r="F21">
        <f t="shared" si="0"/>
        <v>298.20000000000005</v>
      </c>
      <c r="G21">
        <f t="shared" si="1"/>
        <v>-1.2099908766514988</v>
      </c>
      <c r="H21" t="s">
        <v>16</v>
      </c>
      <c r="I21" t="s">
        <v>10</v>
      </c>
      <c r="J21">
        <v>2</v>
      </c>
      <c r="K21">
        <f t="array" ref="K21">SLOPE(
  IF(($A$2:$A$9999=H21)*($B$2:$B$9999=I21)*($C$2:$C$9999=J21), LN($E$2:$E$9999)),
  IF(($A$2:$A$9999=H21)*($B$2:$B$9999=I21)*($C$2:$C$9999=J21), $D$2:$D$9999)
)</f>
        <v>0.43743832189119453</v>
      </c>
      <c r="L21">
        <f t="array" ref="L21">RSQ(
  IF(($A$2:$A$9999=H21)*($B$2:$B$9999=I21)*($C$2:$C$9999=J21)*($D$2:$D$9999&gt;=2)*($D$2:$D$9999&lt;=10), $F$2:$F$9999),
  IF(($A$2:$A$9999=H21)*($B$2:$B$9999=I21)*($C$2:$C$9999=J21)*($D$2:$D$9999&gt;=2)*($D$2:$D$9999&lt;=10), $D$2:$D$9999)
)</f>
        <v>0.98640356332710932</v>
      </c>
    </row>
    <row r="22" spans="1:12" x14ac:dyDescent="0.3">
      <c r="A22" t="s">
        <v>9</v>
      </c>
      <c r="B22" t="s">
        <v>10</v>
      </c>
      <c r="C22">
        <v>3</v>
      </c>
      <c r="D22">
        <v>12</v>
      </c>
      <c r="E22">
        <v>0.30690000000000001</v>
      </c>
      <c r="F22">
        <f t="shared" si="0"/>
        <v>306.90000000000003</v>
      </c>
      <c r="G22">
        <f t="shared" si="1"/>
        <v>-1.1812333173564464</v>
      </c>
      <c r="H22" t="s">
        <v>16</v>
      </c>
      <c r="I22" t="s">
        <v>10</v>
      </c>
      <c r="J22">
        <v>3</v>
      </c>
      <c r="K22">
        <f t="array" ref="K22">SLOPE(
  IF(($A$2:$A$9999=H22)*($B$2:$B$9999=I22)*($C$2:$C$9999=J22), LN($E$2:$E$9999)),
  IF(($A$2:$A$9999=H22)*($B$2:$B$9999=I22)*($C$2:$C$9999=J22), $D$2:$D$9999)
)</f>
        <v>0.41138818642586472</v>
      </c>
      <c r="L22">
        <f t="array" ref="L22">RSQ(
  IF(($A$2:$A$9999=H22)*($B$2:$B$9999=I22)*($C$2:$C$9999=J22)*($D$2:$D$9999&gt;=2)*($D$2:$D$9999&lt;=10), $F$2:$F$9999),
  IF(($A$2:$A$9999=H22)*($B$2:$B$9999=I22)*($C$2:$C$9999=J22)*($D$2:$D$9999&gt;=2)*($D$2:$D$9999&lt;=10), $D$2:$D$9999)
)</f>
        <v>0.93909158479255417</v>
      </c>
    </row>
    <row r="23" spans="1:12" x14ac:dyDescent="0.3">
      <c r="A23" t="s">
        <v>9</v>
      </c>
      <c r="B23" t="s">
        <v>10</v>
      </c>
      <c r="C23">
        <v>1</v>
      </c>
      <c r="D23">
        <v>14</v>
      </c>
      <c r="E23">
        <v>0.29899999999999999</v>
      </c>
      <c r="F23">
        <f t="shared" si="0"/>
        <v>299</v>
      </c>
      <c r="G23">
        <f t="shared" si="1"/>
        <v>-1.2073117055914506</v>
      </c>
      <c r="H23" t="s">
        <v>17</v>
      </c>
      <c r="I23" t="s">
        <v>10</v>
      </c>
      <c r="J23">
        <v>1</v>
      </c>
      <c r="K23">
        <f t="array" ref="K23">SLOPE(
  IF(($A$2:$A$9999=H23)*($B$2:$B$9999=I23)*($C$2:$C$9999=J23), LN($E$2:$E$9999)),
  IF(($A$2:$A$9999=H23)*($B$2:$B$9999=I23)*($C$2:$C$9999=J23), $D$2:$D$9999)
)</f>
        <v>0.39269264583471003</v>
      </c>
      <c r="L23">
        <f t="array" ref="L23">RSQ(
  IF(($A$2:$A$9999=H23)*($B$2:$B$9999=I23)*($C$2:$C$9999=J23)*($D$2:$D$9999&gt;=2)*($D$2:$D$9999&lt;=10), $F$2:$F$9999),
  IF(($A$2:$A$9999=H23)*($B$2:$B$9999=I23)*($C$2:$C$9999=J23)*($D$2:$D$9999&gt;=2)*($D$2:$D$9999&lt;=10), $D$2:$D$9999)
)</f>
        <v>0.98438910197853913</v>
      </c>
    </row>
    <row r="24" spans="1:12" x14ac:dyDescent="0.3">
      <c r="A24" t="s">
        <v>9</v>
      </c>
      <c r="B24" t="s">
        <v>10</v>
      </c>
      <c r="C24">
        <v>2</v>
      </c>
      <c r="D24">
        <v>14</v>
      </c>
      <c r="E24">
        <v>0.29609999999999997</v>
      </c>
      <c r="F24">
        <f t="shared" si="0"/>
        <v>296.09999999999997</v>
      </c>
      <c r="G24">
        <f t="shared" si="1"/>
        <v>-1.2170580438745915</v>
      </c>
      <c r="H24" t="s">
        <v>17</v>
      </c>
      <c r="I24" t="s">
        <v>10</v>
      </c>
      <c r="J24">
        <v>2</v>
      </c>
      <c r="K24">
        <f t="array" ref="K24">SLOPE(
  IF(($A$2:$A$9999=H24)*($B$2:$B$9999=I24)*($C$2:$C$9999=J24), LN($E$2:$E$9999)),
  IF(($A$2:$A$9999=H24)*($B$2:$B$9999=I24)*($C$2:$C$9999=J24), $D$2:$D$9999)
)</f>
        <v>0.40672663300925177</v>
      </c>
      <c r="L24">
        <f t="array" ref="L24">RSQ(
  IF(($A$2:$A$9999=H24)*($B$2:$B$9999=I24)*($C$2:$C$9999=J24)*($D$2:$D$9999&gt;=2)*($D$2:$D$9999&lt;=10), $F$2:$F$9999),
  IF(($A$2:$A$9999=H24)*($B$2:$B$9999=I24)*($C$2:$C$9999=J24)*($D$2:$D$9999&gt;=2)*($D$2:$D$9999&lt;=10), $D$2:$D$9999)
)</f>
        <v>0.96994794473505708</v>
      </c>
    </row>
    <row r="25" spans="1:12" x14ac:dyDescent="0.3">
      <c r="A25" t="s">
        <v>9</v>
      </c>
      <c r="B25" t="s">
        <v>10</v>
      </c>
      <c r="C25">
        <v>3</v>
      </c>
      <c r="D25">
        <v>14</v>
      </c>
      <c r="E25">
        <v>0.3044</v>
      </c>
      <c r="F25">
        <f t="shared" si="0"/>
        <v>304.39999999999998</v>
      </c>
      <c r="G25">
        <f t="shared" si="1"/>
        <v>-1.1894126529946063</v>
      </c>
      <c r="H25" t="s">
        <v>17</v>
      </c>
      <c r="I25" t="s">
        <v>10</v>
      </c>
      <c r="J25">
        <v>3</v>
      </c>
      <c r="K25">
        <f t="array" ref="K25">SLOPE(
  IF(($A$2:$A$9999=H25)*($B$2:$B$9999=I25)*($C$2:$C$9999=J25), LN($E$2:$E$9999)),
  IF(($A$2:$A$9999=H25)*($B$2:$B$9999=I25)*($C$2:$C$9999=J25), $D$2:$D$9999)
)</f>
        <v>0.40340035774830102</v>
      </c>
      <c r="L25">
        <f t="array" ref="L25">RSQ(
  IF(($A$2:$A$9999=H25)*($B$2:$B$9999=I25)*($C$2:$C$9999=J25)*($D$2:$D$9999&gt;=2)*($D$2:$D$9999&lt;=10), $F$2:$F$9999),
  IF(($A$2:$A$9999=H25)*($B$2:$B$9999=I25)*($C$2:$C$9999=J25)*($D$2:$D$9999&gt;=2)*($D$2:$D$9999&lt;=10), $D$2:$D$9999)
)</f>
        <v>0.98739128751863925</v>
      </c>
    </row>
    <row r="26" spans="1:12" x14ac:dyDescent="0.3">
      <c r="A26" t="s">
        <v>11</v>
      </c>
      <c r="B26" t="s">
        <v>10</v>
      </c>
      <c r="C26">
        <v>1</v>
      </c>
      <c r="D26">
        <v>0</v>
      </c>
      <c r="E26">
        <v>1.4166669999999999E-3</v>
      </c>
      <c r="F26">
        <f t="shared" si="0"/>
        <v>1.4166669999999999</v>
      </c>
      <c r="G26">
        <f t="shared" si="1"/>
        <v>-6.5594483494198315</v>
      </c>
      <c r="H26" t="s">
        <v>9</v>
      </c>
      <c r="I26" t="s">
        <v>18</v>
      </c>
      <c r="J26">
        <v>1</v>
      </c>
      <c r="K26">
        <f t="array" ref="K26">SLOPE(
  IF(($A$2:$A$9999=H26)*($B$2:$B$9999=I26)*($C$2:$C$9999=J26), LN($E$2:$E$9999)),
  IF(($A$2:$A$9999=H26)*($B$2:$B$9999=I26)*($C$2:$C$9999=J26), $D$2:$D$9999)
)</f>
        <v>0.38739947870949254</v>
      </c>
      <c r="L26">
        <f t="array" ref="L26">RSQ(
  IF(($A$2:$A$9999=H26)*($B$2:$B$9999=I26)*($C$2:$C$9999=J26)*($D$2:$D$9999&gt;=2)*($D$2:$D$9999&lt;=10), $F$2:$F$9999),
  IF(($A$2:$A$9999=H26)*($B$2:$B$9999=I26)*($C$2:$C$9999=J26)*($D$2:$D$9999&gt;=2)*($D$2:$D$9999&lt;=10), $D$2:$D$9999)
)</f>
        <v>0.94439679876250382</v>
      </c>
    </row>
    <row r="27" spans="1:12" x14ac:dyDescent="0.3">
      <c r="A27" t="s">
        <v>11</v>
      </c>
      <c r="B27" t="s">
        <v>10</v>
      </c>
      <c r="C27">
        <v>2</v>
      </c>
      <c r="D27">
        <v>0</v>
      </c>
      <c r="E27">
        <v>1.936667E-3</v>
      </c>
      <c r="F27">
        <f t="shared" si="0"/>
        <v>1.9366669999999999</v>
      </c>
      <c r="G27">
        <f t="shared" si="1"/>
        <v>-6.2467868246694023</v>
      </c>
      <c r="H27" t="s">
        <v>9</v>
      </c>
      <c r="I27" t="s">
        <v>18</v>
      </c>
      <c r="J27">
        <v>2</v>
      </c>
      <c r="K27">
        <f t="array" ref="K27">SLOPE(
  IF(($A$2:$A$9999=H27)*($B$2:$B$9999=I27)*($C$2:$C$9999=J27), LN($E$2:$E$9999)),
  IF(($A$2:$A$9999=H27)*($B$2:$B$9999=I27)*($C$2:$C$9999=J27), $D$2:$D$9999)
)</f>
        <v>0.39377083277351005</v>
      </c>
      <c r="L27">
        <f t="array" ref="L27">RSQ(
  IF(($A$2:$A$9999=H27)*($B$2:$B$9999=I27)*($C$2:$C$9999=J27)*($D$2:$D$9999&gt;=2)*($D$2:$D$9999&lt;=10), $F$2:$F$9999),
  IF(($A$2:$A$9999=H27)*($B$2:$B$9999=I27)*($C$2:$C$9999=J27)*($D$2:$D$9999&gt;=2)*($D$2:$D$9999&lt;=10), $D$2:$D$9999)
)</f>
        <v>0.94517842935644236</v>
      </c>
    </row>
    <row r="28" spans="1:12" x14ac:dyDescent="0.3">
      <c r="A28" t="s">
        <v>11</v>
      </c>
      <c r="B28" t="s">
        <v>10</v>
      </c>
      <c r="C28">
        <v>3</v>
      </c>
      <c r="D28">
        <v>0</v>
      </c>
      <c r="E28">
        <v>1.5299999999999999E-3</v>
      </c>
      <c r="F28">
        <f t="shared" si="0"/>
        <v>1.5299999999999998</v>
      </c>
      <c r="G28">
        <f t="shared" si="1"/>
        <v>-6.4824875435777933</v>
      </c>
      <c r="H28" t="s">
        <v>9</v>
      </c>
      <c r="I28" t="s">
        <v>18</v>
      </c>
      <c r="J28">
        <v>3</v>
      </c>
      <c r="K28">
        <f t="array" ref="K28">SLOPE(
  IF(($A$2:$A$9999=H28)*($B$2:$B$9999=I28)*($C$2:$C$9999=J28), LN($E$2:$E$9999)),
  IF(($A$2:$A$9999=H28)*($B$2:$B$9999=I28)*($C$2:$C$9999=J28), $D$2:$D$9999)
)</f>
        <v>0.39954659861255543</v>
      </c>
      <c r="L28">
        <f t="array" ref="L28">RSQ(
  IF(($A$2:$A$9999=H28)*($B$2:$B$9999=I28)*($C$2:$C$9999=J28)*($D$2:$D$9999&gt;=2)*($D$2:$D$9999&lt;=10), $F$2:$F$9999),
  IF(($A$2:$A$9999=H28)*($B$2:$B$9999=I28)*($C$2:$C$9999=J28)*($D$2:$D$9999&gt;=2)*($D$2:$D$9999&lt;=10), $D$2:$D$9999)
)</f>
        <v>0.93940765922864655</v>
      </c>
    </row>
    <row r="29" spans="1:12" x14ac:dyDescent="0.3">
      <c r="A29" t="s">
        <v>11</v>
      </c>
      <c r="B29" t="s">
        <v>10</v>
      </c>
      <c r="C29">
        <v>1</v>
      </c>
      <c r="D29">
        <v>2</v>
      </c>
      <c r="E29">
        <v>5.3E-3</v>
      </c>
      <c r="F29">
        <f t="shared" si="0"/>
        <v>5.3</v>
      </c>
      <c r="G29">
        <f t="shared" si="1"/>
        <v>-5.2400484584240612</v>
      </c>
      <c r="H29" t="s">
        <v>11</v>
      </c>
      <c r="I29" t="s">
        <v>18</v>
      </c>
      <c r="J29">
        <v>1</v>
      </c>
      <c r="K29">
        <f t="array" ref="K29">SLOPE(
  IF(($A$2:$A$9999=H29)*($B$2:$B$9999=I29)*($C$2:$C$9999=J29), LN($E$2:$E$9999)),
  IF(($A$2:$A$9999=H29)*($B$2:$B$9999=I29)*($C$2:$C$9999=J29), $D$2:$D$9999)
)</f>
        <v>0.41775449413205235</v>
      </c>
      <c r="L29">
        <f t="array" ref="L29">RSQ(
  IF(($A$2:$A$9999=H29)*($B$2:$B$9999=I29)*($C$2:$C$9999=J29)*($D$2:$D$9999&gt;=2)*($D$2:$D$9999&lt;=10), $F$2:$F$9999),
  IF(($A$2:$A$9999=H29)*($B$2:$B$9999=I29)*($C$2:$C$9999=J29)*($D$2:$D$9999&gt;=2)*($D$2:$D$9999&lt;=10), $D$2:$D$9999)
)</f>
        <v>0.95901426182885208</v>
      </c>
    </row>
    <row r="30" spans="1:12" x14ac:dyDescent="0.3">
      <c r="A30" t="s">
        <v>11</v>
      </c>
      <c r="B30" t="s">
        <v>10</v>
      </c>
      <c r="C30">
        <v>2</v>
      </c>
      <c r="D30">
        <v>2</v>
      </c>
      <c r="E30">
        <v>3.2000000000000002E-3</v>
      </c>
      <c r="F30">
        <f t="shared" si="0"/>
        <v>3.2</v>
      </c>
      <c r="G30">
        <f t="shared" si="1"/>
        <v>-5.7446044691764557</v>
      </c>
      <c r="H30" t="s">
        <v>11</v>
      </c>
      <c r="I30" t="s">
        <v>18</v>
      </c>
      <c r="J30">
        <v>2</v>
      </c>
      <c r="K30">
        <f t="array" ref="K30">SLOPE(
  IF(($A$2:$A$9999=H30)*($B$2:$B$9999=I30)*($C$2:$C$9999=J30), LN($E$2:$E$9999)),
  IF(($A$2:$A$9999=H30)*($B$2:$B$9999=I30)*($C$2:$C$9999=J30), $D$2:$D$9999)
)</f>
        <v>0.40480912449366474</v>
      </c>
      <c r="L30">
        <f t="array" ref="L30">RSQ(
  IF(($A$2:$A$9999=H30)*($B$2:$B$9999=I30)*($C$2:$C$9999=J30)*($D$2:$D$9999&gt;=2)*($D$2:$D$9999&lt;=10), $F$2:$F$9999),
  IF(($A$2:$A$9999=H30)*($B$2:$B$9999=I30)*($C$2:$C$9999=J30)*($D$2:$D$9999&gt;=2)*($D$2:$D$9999&lt;=10), $D$2:$D$9999)
)</f>
        <v>0.98636190610959673</v>
      </c>
    </row>
    <row r="31" spans="1:12" x14ac:dyDescent="0.3">
      <c r="A31" t="s">
        <v>11</v>
      </c>
      <c r="B31" t="s">
        <v>10</v>
      </c>
      <c r="C31">
        <v>3</v>
      </c>
      <c r="D31">
        <v>2</v>
      </c>
      <c r="E31">
        <v>8.3999999999999995E-3</v>
      </c>
      <c r="F31">
        <f t="shared" si="0"/>
        <v>8.4</v>
      </c>
      <c r="G31">
        <f t="shared" si="1"/>
        <v>-4.7795235731328694</v>
      </c>
      <c r="H31" t="s">
        <v>11</v>
      </c>
      <c r="I31" t="s">
        <v>18</v>
      </c>
      <c r="J31">
        <v>3</v>
      </c>
      <c r="K31">
        <f t="array" ref="K31">SLOPE(
  IF(($A$2:$A$9999=H31)*($B$2:$B$9999=I31)*($C$2:$C$9999=J31), LN($E$2:$E$9999)),
  IF(($A$2:$A$9999=H31)*($B$2:$B$9999=I31)*($C$2:$C$9999=J31), $D$2:$D$9999)
)</f>
        <v>0.4058798018673303</v>
      </c>
      <c r="L31">
        <f t="array" ref="L31">RSQ(
  IF(($A$2:$A$9999=H31)*($B$2:$B$9999=I31)*($C$2:$C$9999=J31)*($D$2:$D$9999&gt;=2)*($D$2:$D$9999&lt;=10), $F$2:$F$9999),
  IF(($A$2:$A$9999=H31)*($B$2:$B$9999=I31)*($C$2:$C$9999=J31)*($D$2:$D$9999&gt;=2)*($D$2:$D$9999&lt;=10), $D$2:$D$9999)
)</f>
        <v>0.96663014134498959</v>
      </c>
    </row>
    <row r="32" spans="1:12" x14ac:dyDescent="0.3">
      <c r="A32" t="s">
        <v>11</v>
      </c>
      <c r="B32" t="s">
        <v>10</v>
      </c>
      <c r="C32">
        <v>1</v>
      </c>
      <c r="D32">
        <v>4</v>
      </c>
      <c r="E32">
        <v>1.4800000000000001E-2</v>
      </c>
      <c r="F32">
        <f t="shared" si="0"/>
        <v>14.8</v>
      </c>
      <c r="G32">
        <f t="shared" si="1"/>
        <v>-4.213128098212068</v>
      </c>
      <c r="H32" t="s">
        <v>13</v>
      </c>
      <c r="I32" t="s">
        <v>18</v>
      </c>
      <c r="J32">
        <v>1</v>
      </c>
      <c r="K32">
        <f t="array" ref="K32">SLOPE(
  IF(($A$2:$A$9999=H32)*($B$2:$B$9999=I32)*($C$2:$C$9999=J32), LN($E$2:$E$9999)),
  IF(($A$2:$A$9999=H32)*($B$2:$B$9999=I32)*($C$2:$C$9999=J32), $D$2:$D$9999)
)</f>
        <v>0.39756570872558816</v>
      </c>
      <c r="L32">
        <f t="array" ref="L32">RSQ(
  IF(($A$2:$A$9999=H32)*($B$2:$B$9999=I32)*($C$2:$C$9999=J32)*($D$2:$D$9999&gt;=2)*($D$2:$D$9999&lt;=10), $F$2:$F$9999),
  IF(($A$2:$A$9999=H32)*($B$2:$B$9999=I32)*($C$2:$C$9999=J32)*($D$2:$D$9999&gt;=2)*($D$2:$D$9999&lt;=10), $D$2:$D$9999)
)</f>
        <v>0.9721524365303521</v>
      </c>
    </row>
    <row r="33" spans="1:12" x14ac:dyDescent="0.3">
      <c r="A33" t="s">
        <v>11</v>
      </c>
      <c r="B33" t="s">
        <v>10</v>
      </c>
      <c r="C33">
        <v>2</v>
      </c>
      <c r="D33">
        <v>4</v>
      </c>
      <c r="E33">
        <v>4.1399999999999999E-2</v>
      </c>
      <c r="F33">
        <f t="shared" si="0"/>
        <v>41.4</v>
      </c>
      <c r="G33">
        <f t="shared" si="1"/>
        <v>-3.1844743981508685</v>
      </c>
      <c r="H33" t="s">
        <v>13</v>
      </c>
      <c r="I33" t="s">
        <v>18</v>
      </c>
      <c r="J33">
        <v>2</v>
      </c>
      <c r="K33">
        <f t="array" ref="K33">SLOPE(
  IF(($A$2:$A$9999=H33)*($B$2:$B$9999=I33)*($C$2:$C$9999=J33), LN($E$2:$E$9999)),
  IF(($A$2:$A$9999=H33)*($B$2:$B$9999=I33)*($C$2:$C$9999=J33), $D$2:$D$9999)
)</f>
        <v>0.38446827009676554</v>
      </c>
      <c r="L33">
        <f t="array" ref="L33">RSQ(
  IF(($A$2:$A$9999=H33)*($B$2:$B$9999=I33)*($C$2:$C$9999=J33)*($D$2:$D$9999&gt;=2)*($D$2:$D$9999&lt;=10), $F$2:$F$9999),
  IF(($A$2:$A$9999=H33)*($B$2:$B$9999=I33)*($C$2:$C$9999=J33)*($D$2:$D$9999&gt;=2)*($D$2:$D$9999&lt;=10), $D$2:$D$9999)
)</f>
        <v>0.97379850089299791</v>
      </c>
    </row>
    <row r="34" spans="1:12" x14ac:dyDescent="0.3">
      <c r="A34" t="s">
        <v>11</v>
      </c>
      <c r="B34" t="s">
        <v>10</v>
      </c>
      <c r="C34">
        <v>3</v>
      </c>
      <c r="D34">
        <v>4</v>
      </c>
      <c r="E34">
        <v>3.7900000000000003E-2</v>
      </c>
      <c r="F34">
        <f t="shared" si="0"/>
        <v>37.900000000000006</v>
      </c>
      <c r="G34">
        <f t="shared" si="1"/>
        <v>-3.2728041668937564</v>
      </c>
      <c r="H34" t="s">
        <v>13</v>
      </c>
      <c r="I34" t="s">
        <v>18</v>
      </c>
      <c r="J34">
        <v>3</v>
      </c>
      <c r="K34">
        <f t="array" ref="K34">SLOPE(
  IF(($A$2:$A$9999=H34)*($B$2:$B$9999=I34)*($C$2:$C$9999=J34), LN($E$2:$E$9999)),
  IF(($A$2:$A$9999=H34)*($B$2:$B$9999=I34)*($C$2:$C$9999=J34), $D$2:$D$9999)
)</f>
        <v>0.38760226983786933</v>
      </c>
      <c r="L34">
        <f t="array" ref="L34">RSQ(
  IF(($A$2:$A$9999=H34)*($B$2:$B$9999=I34)*($C$2:$C$9999=J34)*($D$2:$D$9999&gt;=2)*($D$2:$D$9999&lt;=10), $F$2:$F$9999),
  IF(($A$2:$A$9999=H34)*($B$2:$B$9999=I34)*($C$2:$C$9999=J34)*($D$2:$D$9999&gt;=2)*($D$2:$D$9999&lt;=10), $D$2:$D$9999)
)</f>
        <v>0.97928045367185657</v>
      </c>
    </row>
    <row r="35" spans="1:12" x14ac:dyDescent="0.3">
      <c r="A35" t="s">
        <v>11</v>
      </c>
      <c r="B35" t="s">
        <v>10</v>
      </c>
      <c r="C35">
        <v>1</v>
      </c>
      <c r="D35">
        <v>6</v>
      </c>
      <c r="E35">
        <v>6.4600000000000005E-2</v>
      </c>
      <c r="F35">
        <f t="shared" si="0"/>
        <v>64.600000000000009</v>
      </c>
      <c r="G35">
        <f t="shared" si="1"/>
        <v>-2.7395408681935809</v>
      </c>
      <c r="H35" t="s">
        <v>15</v>
      </c>
      <c r="I35" t="s">
        <v>18</v>
      </c>
      <c r="J35">
        <v>1</v>
      </c>
      <c r="K35">
        <f t="array" ref="K35">SLOPE(
  IF(($A$2:$A$9999=H35)*($B$2:$B$9999=I35)*($C$2:$C$9999=J35), LN($E$2:$E$9999)),
  IF(($A$2:$A$9999=H35)*($B$2:$B$9999=I35)*($C$2:$C$9999=J35), $D$2:$D$9999)
)</f>
        <v>0.3092077108528285</v>
      </c>
      <c r="L35">
        <f t="array" ref="L35">RSQ(
  IF(($A$2:$A$9999=H35)*($B$2:$B$9999=I35)*($C$2:$C$9999=J35)*($D$2:$D$9999&gt;=2)*($D$2:$D$9999&lt;=10), $F$2:$F$9999),
  IF(($A$2:$A$9999=H35)*($B$2:$B$9999=I35)*($C$2:$C$9999=J35)*($D$2:$D$9999&gt;=2)*($D$2:$D$9999&lt;=10), $D$2:$D$9999)
)</f>
        <v>0.92726871166964819</v>
      </c>
    </row>
    <row r="36" spans="1:12" x14ac:dyDescent="0.3">
      <c r="A36" t="s">
        <v>11</v>
      </c>
      <c r="B36" t="s">
        <v>10</v>
      </c>
      <c r="C36">
        <v>2</v>
      </c>
      <c r="D36">
        <v>6</v>
      </c>
      <c r="E36">
        <v>0.1018</v>
      </c>
      <c r="F36">
        <f t="shared" si="0"/>
        <v>101.8</v>
      </c>
      <c r="G36">
        <f t="shared" si="1"/>
        <v>-2.2847451748657148</v>
      </c>
      <c r="H36" t="s">
        <v>15</v>
      </c>
      <c r="I36" t="s">
        <v>18</v>
      </c>
      <c r="J36">
        <v>2</v>
      </c>
      <c r="K36">
        <f t="array" ref="K36">SLOPE(
  IF(($A$2:$A$9999=H36)*($B$2:$B$9999=I36)*($C$2:$C$9999=J36), LN($E$2:$E$9999)),
  IF(($A$2:$A$9999=H36)*($B$2:$B$9999=I36)*($C$2:$C$9999=J36), $D$2:$D$9999)
)</f>
        <v>0.3553226528993057</v>
      </c>
      <c r="L36">
        <f t="array" ref="L36">RSQ(
  IF(($A$2:$A$9999=H36)*($B$2:$B$9999=I36)*($C$2:$C$9999=J36)*($D$2:$D$9999&gt;=2)*($D$2:$D$9999&lt;=10), $F$2:$F$9999),
  IF(($A$2:$A$9999=H36)*($B$2:$B$9999=I36)*($C$2:$C$9999=J36)*($D$2:$D$9999&gt;=2)*($D$2:$D$9999&lt;=10), $D$2:$D$9999)
)</f>
        <v>0.99262758046894262</v>
      </c>
    </row>
    <row r="37" spans="1:12" x14ac:dyDescent="0.3">
      <c r="A37" t="s">
        <v>11</v>
      </c>
      <c r="B37" t="s">
        <v>10</v>
      </c>
      <c r="C37">
        <v>3</v>
      </c>
      <c r="D37">
        <v>6</v>
      </c>
      <c r="E37">
        <v>0.11840000000000001</v>
      </c>
      <c r="F37">
        <f t="shared" si="0"/>
        <v>118.4</v>
      </c>
      <c r="G37">
        <f t="shared" si="1"/>
        <v>-2.1336865565322318</v>
      </c>
      <c r="H37" t="s">
        <v>15</v>
      </c>
      <c r="I37" t="s">
        <v>18</v>
      </c>
      <c r="J37">
        <v>3</v>
      </c>
      <c r="K37">
        <f t="array" ref="K37">SLOPE(
  IF(($A$2:$A$9999=H37)*($B$2:$B$9999=I37)*($C$2:$C$9999=J37), LN($E$2:$E$9999)),
  IF(($A$2:$A$9999=H37)*($B$2:$B$9999=I37)*($C$2:$C$9999=J37), $D$2:$D$9999)
)</f>
        <v>0.35429439439771343</v>
      </c>
      <c r="L37">
        <f t="array" ref="L37">RSQ(
  IF(($A$2:$A$9999=H37)*($B$2:$B$9999=I37)*($C$2:$C$9999=J37)*($D$2:$D$9999&gt;=2)*($D$2:$D$9999&lt;=10), $F$2:$F$9999),
  IF(($A$2:$A$9999=H37)*($B$2:$B$9999=I37)*($C$2:$C$9999=J37)*($D$2:$D$9999&gt;=2)*($D$2:$D$9999&lt;=10), $D$2:$D$9999)
)</f>
        <v>0.97628799149581103</v>
      </c>
    </row>
    <row r="38" spans="1:12" x14ac:dyDescent="0.3">
      <c r="A38" t="s">
        <v>11</v>
      </c>
      <c r="B38" t="s">
        <v>10</v>
      </c>
      <c r="C38">
        <v>1</v>
      </c>
      <c r="D38">
        <v>8</v>
      </c>
      <c r="E38">
        <v>0.16750000000000001</v>
      </c>
      <c r="F38">
        <f t="shared" si="0"/>
        <v>167.5</v>
      </c>
      <c r="G38">
        <f t="shared" si="1"/>
        <v>-1.7867719277170158</v>
      </c>
      <c r="H38" t="s">
        <v>12</v>
      </c>
      <c r="I38" t="s">
        <v>18</v>
      </c>
      <c r="J38">
        <v>1</v>
      </c>
      <c r="K38">
        <f t="array" ref="K38">SLOPE(
  IF(($A$2:$A$9999=H38)*($B$2:$B$9999=I38)*($C$2:$C$9999=J38), LN($E$2:$E$9999)),
  IF(($A$2:$A$9999=H38)*($B$2:$B$9999=I38)*($C$2:$C$9999=J38), $D$2:$D$9999)
)</f>
        <v>0.39063404156268883</v>
      </c>
      <c r="L38">
        <f t="array" ref="L38">RSQ(
  IF(($A$2:$A$9999=H38)*($B$2:$B$9999=I38)*($C$2:$C$9999=J38)*($D$2:$D$9999&gt;=2)*($D$2:$D$9999&lt;=10), $F$2:$F$9999),
  IF(($A$2:$A$9999=H38)*($B$2:$B$9999=I38)*($C$2:$C$9999=J38)*($D$2:$D$9999&gt;=2)*($D$2:$D$9999&lt;=10), $D$2:$D$9999)
)</f>
        <v>0.97268392845720808</v>
      </c>
    </row>
    <row r="39" spans="1:12" x14ac:dyDescent="0.3">
      <c r="A39" t="s">
        <v>11</v>
      </c>
      <c r="B39" t="s">
        <v>10</v>
      </c>
      <c r="C39">
        <v>2</v>
      </c>
      <c r="D39">
        <v>8</v>
      </c>
      <c r="E39">
        <v>0.18740000000000001</v>
      </c>
      <c r="F39">
        <f t="shared" si="0"/>
        <v>187.4</v>
      </c>
      <c r="G39">
        <f t="shared" si="1"/>
        <v>-1.6745099091778153</v>
      </c>
      <c r="H39" t="s">
        <v>12</v>
      </c>
      <c r="I39" t="s">
        <v>18</v>
      </c>
      <c r="J39">
        <v>2</v>
      </c>
      <c r="K39">
        <f t="array" ref="K39">SLOPE(
  IF(($A$2:$A$9999=H39)*($B$2:$B$9999=I39)*($C$2:$C$9999=J39), LN($E$2:$E$9999)),
  IF(($A$2:$A$9999=H39)*($B$2:$B$9999=I39)*($C$2:$C$9999=J39), $D$2:$D$9999)
)</f>
        <v>0.35977772950657194</v>
      </c>
      <c r="L39">
        <f t="array" ref="L39">RSQ(
  IF(($A$2:$A$9999=H39)*($B$2:$B$9999=I39)*($C$2:$C$9999=J39)*($D$2:$D$9999&gt;=2)*($D$2:$D$9999&lt;=10), $F$2:$F$9999),
  IF(($A$2:$A$9999=H39)*($B$2:$B$9999=I39)*($C$2:$C$9999=J39)*($D$2:$D$9999&gt;=2)*($D$2:$D$9999&lt;=10), $D$2:$D$9999)
)</f>
        <v>0.97821067036453191</v>
      </c>
    </row>
    <row r="40" spans="1:12" x14ac:dyDescent="0.3">
      <c r="A40" t="s">
        <v>11</v>
      </c>
      <c r="B40" t="s">
        <v>10</v>
      </c>
      <c r="C40">
        <v>3</v>
      </c>
      <c r="D40">
        <v>8</v>
      </c>
      <c r="E40">
        <v>0.20119999999999999</v>
      </c>
      <c r="F40">
        <f t="shared" si="0"/>
        <v>201.2</v>
      </c>
      <c r="G40">
        <f t="shared" si="1"/>
        <v>-1.6034558407565529</v>
      </c>
      <c r="H40" t="s">
        <v>12</v>
      </c>
      <c r="I40" t="s">
        <v>18</v>
      </c>
      <c r="J40">
        <v>3</v>
      </c>
      <c r="K40">
        <f t="array" ref="K40">SLOPE(
  IF(($A$2:$A$9999=H40)*($B$2:$B$9999=I40)*($C$2:$C$9999=J40), LN($E$2:$E$9999)),
  IF(($A$2:$A$9999=H40)*($B$2:$B$9999=I40)*($C$2:$C$9999=J40), $D$2:$D$9999)
)</f>
        <v>0.36298204325008226</v>
      </c>
      <c r="L40">
        <f t="array" ref="L40">RSQ(
  IF(($A$2:$A$9999=H40)*($B$2:$B$9999=I40)*($C$2:$C$9999=J40)*($D$2:$D$9999&gt;=2)*($D$2:$D$9999&lt;=10), $F$2:$F$9999),
  IF(($A$2:$A$9999=H40)*($B$2:$B$9999=I40)*($C$2:$C$9999=J40)*($D$2:$D$9999&gt;=2)*($D$2:$D$9999&lt;=10), $D$2:$D$9999)
)</f>
        <v>0.98610229522751913</v>
      </c>
    </row>
    <row r="41" spans="1:12" x14ac:dyDescent="0.3">
      <c r="A41" t="s">
        <v>11</v>
      </c>
      <c r="B41" t="s">
        <v>10</v>
      </c>
      <c r="C41">
        <v>1</v>
      </c>
      <c r="D41">
        <v>10</v>
      </c>
      <c r="E41">
        <v>0.28839999999999999</v>
      </c>
      <c r="F41">
        <f t="shared" si="0"/>
        <v>288.39999999999998</v>
      </c>
      <c r="G41">
        <f t="shared" si="1"/>
        <v>-1.2434068735713431</v>
      </c>
      <c r="H41" t="s">
        <v>14</v>
      </c>
      <c r="I41" t="s">
        <v>18</v>
      </c>
      <c r="J41">
        <v>1</v>
      </c>
      <c r="K41">
        <f t="array" ref="K41">SLOPE(
  IF(($A$2:$A$9999=H41)*($B$2:$B$9999=I41)*($C$2:$C$9999=J41), LN($E$2:$E$9999)),
  IF(($A$2:$A$9999=H41)*($B$2:$B$9999=I41)*($C$2:$C$9999=J41), $D$2:$D$9999)
)</f>
        <v>0.39992711653465352</v>
      </c>
      <c r="L41">
        <f t="array" ref="L41">RSQ(
  IF(($A$2:$A$9999=H41)*($B$2:$B$9999=I41)*($C$2:$C$9999=J41)*($D$2:$D$9999&gt;=2)*($D$2:$D$9999&lt;=10), $F$2:$F$9999),
  IF(($A$2:$A$9999=H41)*($B$2:$B$9999=I41)*($C$2:$C$9999=J41)*($D$2:$D$9999&gt;=2)*($D$2:$D$9999&lt;=10), $D$2:$D$9999)
)</f>
        <v>0.97555202366185456</v>
      </c>
    </row>
    <row r="42" spans="1:12" x14ac:dyDescent="0.3">
      <c r="A42" t="s">
        <v>11</v>
      </c>
      <c r="B42" t="s">
        <v>10</v>
      </c>
      <c r="C42">
        <v>2</v>
      </c>
      <c r="D42">
        <v>10</v>
      </c>
      <c r="E42">
        <v>0.26569999999999999</v>
      </c>
      <c r="F42">
        <f t="shared" si="0"/>
        <v>265.7</v>
      </c>
      <c r="G42">
        <f t="shared" si="1"/>
        <v>-1.3253874262163692</v>
      </c>
      <c r="H42" t="s">
        <v>14</v>
      </c>
      <c r="I42" t="s">
        <v>18</v>
      </c>
      <c r="J42">
        <v>2</v>
      </c>
      <c r="K42">
        <f t="array" ref="K42">SLOPE(
  IF(($A$2:$A$9999=H42)*($B$2:$B$9999=I42)*($C$2:$C$9999=J42), LN($E$2:$E$9999)),
  IF(($A$2:$A$9999=H42)*($B$2:$B$9999=I42)*($C$2:$C$9999=J42), $D$2:$D$9999)
)</f>
        <v>0.36841578669205199</v>
      </c>
      <c r="L42">
        <f t="array" ref="L42">RSQ(
  IF(($A$2:$A$9999=H42)*($B$2:$B$9999=I42)*($C$2:$C$9999=J42)*($D$2:$D$9999&gt;=2)*($D$2:$D$9999&lt;=10), $F$2:$F$9999),
  IF(($A$2:$A$9999=H42)*($B$2:$B$9999=I42)*($C$2:$C$9999=J42)*($D$2:$D$9999&gt;=2)*($D$2:$D$9999&lt;=10), $D$2:$D$9999)
)</f>
        <v>0.95673126639763895</v>
      </c>
    </row>
    <row r="43" spans="1:12" x14ac:dyDescent="0.3">
      <c r="A43" t="s">
        <v>11</v>
      </c>
      <c r="B43" t="s">
        <v>10</v>
      </c>
      <c r="C43">
        <v>3</v>
      </c>
      <c r="D43">
        <v>10</v>
      </c>
      <c r="E43">
        <v>0.27279999999999999</v>
      </c>
      <c r="F43">
        <f t="shared" si="0"/>
        <v>272.8</v>
      </c>
      <c r="G43">
        <f t="shared" si="1"/>
        <v>-1.29901635301283</v>
      </c>
      <c r="H43" t="s">
        <v>14</v>
      </c>
      <c r="I43" t="s">
        <v>18</v>
      </c>
      <c r="J43">
        <v>3</v>
      </c>
      <c r="K43">
        <f t="array" ref="K43">SLOPE(
  IF(($A$2:$A$9999=H43)*($B$2:$B$9999=I43)*($C$2:$C$9999=J43), LN($E$2:$E$9999)),
  IF(($A$2:$A$9999=H43)*($B$2:$B$9999=I43)*($C$2:$C$9999=J43), $D$2:$D$9999)
)</f>
        <v>0.40691501832255039</v>
      </c>
      <c r="L43">
        <f t="array" ref="L43">RSQ(
  IF(($A$2:$A$9999=H43)*($B$2:$B$9999=I43)*($C$2:$C$9999=J43)*($D$2:$D$9999&gt;=2)*($D$2:$D$9999&lt;=10), $F$2:$F$9999),
  IF(($A$2:$A$9999=H43)*($B$2:$B$9999=I43)*($C$2:$C$9999=J43)*($D$2:$D$9999&gt;=2)*($D$2:$D$9999&lt;=10), $D$2:$D$9999)
)</f>
        <v>0.94597404718216449</v>
      </c>
    </row>
    <row r="44" spans="1:12" x14ac:dyDescent="0.3">
      <c r="A44" t="s">
        <v>11</v>
      </c>
      <c r="B44" t="s">
        <v>10</v>
      </c>
      <c r="C44">
        <v>1</v>
      </c>
      <c r="D44">
        <v>12</v>
      </c>
      <c r="E44">
        <v>0.31259999999999999</v>
      </c>
      <c r="F44">
        <f t="shared" si="0"/>
        <v>312.59999999999997</v>
      </c>
      <c r="G44">
        <f t="shared" si="1"/>
        <v>-1.1628308609947609</v>
      </c>
      <c r="H44" t="s">
        <v>16</v>
      </c>
      <c r="I44" t="s">
        <v>18</v>
      </c>
      <c r="J44">
        <v>1</v>
      </c>
      <c r="K44">
        <f t="array" ref="K44">SLOPE(
  IF(($A$2:$A$9999=H44)*($B$2:$B$9999=I44)*($C$2:$C$9999=J44), LN($E$2:$E$9999)),
  IF(($A$2:$A$9999=H44)*($B$2:$B$9999=I44)*($C$2:$C$9999=J44), $D$2:$D$9999)
)</f>
        <v>0.31308339312638722</v>
      </c>
      <c r="L44">
        <f t="array" ref="L44">RSQ(
  IF(($A$2:$A$9999=H44)*($B$2:$B$9999=I44)*($C$2:$C$9999=J44)*($D$2:$D$9999&gt;=2)*($D$2:$D$9999&lt;=10), $F$2:$F$9999),
  IF(($A$2:$A$9999=H44)*($B$2:$B$9999=I44)*($C$2:$C$9999=J44)*($D$2:$D$9999&gt;=2)*($D$2:$D$9999&lt;=10), $D$2:$D$9999)
)</f>
        <v>0.94516691340251124</v>
      </c>
    </row>
    <row r="45" spans="1:12" x14ac:dyDescent="0.3">
      <c r="A45" t="s">
        <v>11</v>
      </c>
      <c r="B45" t="s">
        <v>10</v>
      </c>
      <c r="C45">
        <v>2</v>
      </c>
      <c r="D45">
        <v>12</v>
      </c>
      <c r="E45">
        <v>0.3054</v>
      </c>
      <c r="F45">
        <f t="shared" si="0"/>
        <v>305.39999999999998</v>
      </c>
      <c r="G45">
        <f t="shared" si="1"/>
        <v>-1.186132886197605</v>
      </c>
      <c r="H45" t="s">
        <v>16</v>
      </c>
      <c r="I45" t="s">
        <v>18</v>
      </c>
      <c r="J45">
        <v>2</v>
      </c>
      <c r="K45">
        <f t="array" ref="K45">SLOPE(
  IF(($A$2:$A$9999=H45)*($B$2:$B$9999=I45)*($C$2:$C$9999=J45), LN($E$2:$E$9999)),
  IF(($A$2:$A$9999=H45)*($B$2:$B$9999=I45)*($C$2:$C$9999=J45), $D$2:$D$9999)
)</f>
        <v>0.31903567144256556</v>
      </c>
      <c r="L45">
        <f t="array" ref="L45">RSQ(
  IF(($A$2:$A$9999=H45)*($B$2:$B$9999=I45)*($C$2:$C$9999=J45)*($D$2:$D$9999&gt;=2)*($D$2:$D$9999&lt;=10), $F$2:$F$9999),
  IF(($A$2:$A$9999=H45)*($B$2:$B$9999=I45)*($C$2:$C$9999=J45)*($D$2:$D$9999&gt;=2)*($D$2:$D$9999&lt;=10), $D$2:$D$9999)
)</f>
        <v>0.96231713655222384</v>
      </c>
    </row>
    <row r="46" spans="1:12" x14ac:dyDescent="0.3">
      <c r="A46" t="s">
        <v>11</v>
      </c>
      <c r="B46" t="s">
        <v>10</v>
      </c>
      <c r="C46">
        <v>3</v>
      </c>
      <c r="D46">
        <v>12</v>
      </c>
      <c r="E46">
        <v>0.28960000000000002</v>
      </c>
      <c r="F46">
        <f t="shared" si="0"/>
        <v>289.60000000000002</v>
      </c>
      <c r="G46">
        <f t="shared" si="1"/>
        <v>-1.2392546184705757</v>
      </c>
      <c r="H46" t="s">
        <v>16</v>
      </c>
      <c r="I46" t="s">
        <v>18</v>
      </c>
      <c r="J46">
        <v>3</v>
      </c>
      <c r="K46">
        <f t="array" ref="K46">SLOPE(
  IF(($A$2:$A$9999=H46)*($B$2:$B$9999=I46)*($C$2:$C$9999=J46), LN($E$2:$E$9999)),
  IF(($A$2:$A$9999=H46)*($B$2:$B$9999=I46)*($C$2:$C$9999=J46), $D$2:$D$9999)
)</f>
        <v>0.32919053673870829</v>
      </c>
      <c r="L46">
        <f t="array" ref="L46">RSQ(
  IF(($A$2:$A$9999=H46)*($B$2:$B$9999=I46)*($C$2:$C$9999=J46)*($D$2:$D$9999&gt;=2)*($D$2:$D$9999&lt;=10), $F$2:$F$9999),
  IF(($A$2:$A$9999=H46)*($B$2:$B$9999=I46)*($C$2:$C$9999=J46)*($D$2:$D$9999&gt;=2)*($D$2:$D$9999&lt;=10), $D$2:$D$9999)
)</f>
        <v>0.97196523396645851</v>
      </c>
    </row>
    <row r="47" spans="1:12" x14ac:dyDescent="0.3">
      <c r="A47" t="s">
        <v>11</v>
      </c>
      <c r="B47" t="s">
        <v>10</v>
      </c>
      <c r="C47">
        <v>1</v>
      </c>
      <c r="D47">
        <v>14</v>
      </c>
      <c r="E47">
        <v>0.30819999999999997</v>
      </c>
      <c r="F47">
        <f t="shared" si="0"/>
        <v>308.2</v>
      </c>
      <c r="G47">
        <f t="shared" si="1"/>
        <v>-1.1770063560961217</v>
      </c>
      <c r="H47" t="s">
        <v>17</v>
      </c>
      <c r="I47" t="s">
        <v>18</v>
      </c>
      <c r="J47">
        <v>1</v>
      </c>
      <c r="K47">
        <f t="array" ref="K47">SLOPE(
  IF(($A$2:$A$9999=H47)*($B$2:$B$9999=I47)*($C$2:$C$9999=J47), LN($E$2:$E$9999)),
  IF(($A$2:$A$9999=H47)*($B$2:$B$9999=I47)*($C$2:$C$9999=J47), $D$2:$D$9999)
)</f>
        <v>0.28830485142829909</v>
      </c>
      <c r="L47">
        <f t="array" ref="L47">RSQ(
  IF(($A$2:$A$9999=H47)*($B$2:$B$9999=I47)*($C$2:$C$9999=J47)*($D$2:$D$9999&gt;=2)*($D$2:$D$9999&lt;=10), $F$2:$F$9999),
  IF(($A$2:$A$9999=H47)*($B$2:$B$9999=I47)*($C$2:$C$9999=J47)*($D$2:$D$9999&gt;=2)*($D$2:$D$9999&lt;=10), $D$2:$D$9999)
)</f>
        <v>0.97868021188130117</v>
      </c>
    </row>
    <row r="48" spans="1:12" x14ac:dyDescent="0.3">
      <c r="A48" t="s">
        <v>11</v>
      </c>
      <c r="B48" t="s">
        <v>10</v>
      </c>
      <c r="C48">
        <v>2</v>
      </c>
      <c r="D48">
        <v>14</v>
      </c>
      <c r="E48">
        <v>0.31080000000000002</v>
      </c>
      <c r="F48">
        <f t="shared" si="0"/>
        <v>310.8</v>
      </c>
      <c r="G48">
        <f t="shared" si="1"/>
        <v>-1.1686056604886446</v>
      </c>
      <c r="H48" t="s">
        <v>17</v>
      </c>
      <c r="I48" t="s">
        <v>18</v>
      </c>
      <c r="J48">
        <v>2</v>
      </c>
      <c r="K48">
        <f t="array" ref="K48">SLOPE(
  IF(($A$2:$A$9999=H48)*($B$2:$B$9999=I48)*($C$2:$C$9999=J48), LN($E$2:$E$9999)),
  IF(($A$2:$A$9999=H48)*($B$2:$B$9999=I48)*($C$2:$C$9999=J48), $D$2:$D$9999)
)</f>
        <v>0.285696724046336</v>
      </c>
      <c r="L48">
        <f t="array" ref="L48">RSQ(
  IF(($A$2:$A$9999=H48)*($B$2:$B$9999=I48)*($C$2:$C$9999=J48)*($D$2:$D$9999&gt;=2)*($D$2:$D$9999&lt;=10), $F$2:$F$9999),
  IF(($A$2:$A$9999=H48)*($B$2:$B$9999=I48)*($C$2:$C$9999=J48)*($D$2:$D$9999&gt;=2)*($D$2:$D$9999&lt;=10), $D$2:$D$9999)
)</f>
        <v>0.93648481619817514</v>
      </c>
    </row>
    <row r="49" spans="1:12" x14ac:dyDescent="0.3">
      <c r="A49" t="s">
        <v>11</v>
      </c>
      <c r="B49" t="s">
        <v>10</v>
      </c>
      <c r="C49">
        <v>3</v>
      </c>
      <c r="D49">
        <v>14</v>
      </c>
      <c r="E49">
        <v>0.309</v>
      </c>
      <c r="F49">
        <f t="shared" si="0"/>
        <v>309</v>
      </c>
      <c r="G49">
        <f t="shared" si="1"/>
        <v>-1.1744140020843916</v>
      </c>
      <c r="H49" t="s">
        <v>17</v>
      </c>
      <c r="I49" t="s">
        <v>18</v>
      </c>
      <c r="J49">
        <v>3</v>
      </c>
      <c r="K49">
        <f t="array" ref="K49">SLOPE(
  IF(($A$2:$A$9999=H49)*($B$2:$B$9999=I49)*($C$2:$C$9999=J49), LN($E$2:$E$9999)),
  IF(($A$2:$A$9999=H49)*($B$2:$B$9999=I49)*($C$2:$C$9999=J49), $D$2:$D$9999)
)</f>
        <v>0.29946877690747392</v>
      </c>
      <c r="L49">
        <f t="array" ref="L49">RSQ(
  IF(($A$2:$A$9999=H49)*($B$2:$B$9999=I49)*($C$2:$C$9999=J49)*($D$2:$D$9999&gt;=2)*($D$2:$D$9999&lt;=10), $F$2:$F$9999),
  IF(($A$2:$A$9999=H49)*($B$2:$B$9999=I49)*($C$2:$C$9999=J49)*($D$2:$D$9999&gt;=2)*($D$2:$D$9999&lt;=10), $D$2:$D$9999)
)</f>
        <v>0.9474914835928685</v>
      </c>
    </row>
    <row r="50" spans="1:12" x14ac:dyDescent="0.3">
      <c r="A50" t="s">
        <v>12</v>
      </c>
      <c r="B50" t="s">
        <v>10</v>
      </c>
      <c r="C50">
        <v>1</v>
      </c>
      <c r="D50">
        <v>0</v>
      </c>
      <c r="E50">
        <v>2.6366670000000001E-3</v>
      </c>
      <c r="F50">
        <f t="shared" si="0"/>
        <v>2.6366670000000001</v>
      </c>
      <c r="G50">
        <f t="shared" si="1"/>
        <v>-5.9382396594484419</v>
      </c>
    </row>
    <row r="51" spans="1:12" x14ac:dyDescent="0.3">
      <c r="A51" t="s">
        <v>12</v>
      </c>
      <c r="B51" t="s">
        <v>10</v>
      </c>
      <c r="C51">
        <v>2</v>
      </c>
      <c r="D51">
        <v>0</v>
      </c>
      <c r="E51">
        <v>2E-3</v>
      </c>
      <c r="F51">
        <f t="shared" si="0"/>
        <v>2</v>
      </c>
      <c r="G51">
        <f t="shared" si="1"/>
        <v>-6.2146080984221914</v>
      </c>
    </row>
    <row r="52" spans="1:12" x14ac:dyDescent="0.3">
      <c r="A52" t="s">
        <v>12</v>
      </c>
      <c r="B52" t="s">
        <v>10</v>
      </c>
      <c r="C52">
        <v>3</v>
      </c>
      <c r="D52">
        <v>0</v>
      </c>
      <c r="E52">
        <v>2.533333E-3</v>
      </c>
      <c r="F52">
        <f t="shared" si="0"/>
        <v>2.5333329999999998</v>
      </c>
      <c r="G52">
        <f t="shared" si="1"/>
        <v>-5.9782194519369174</v>
      </c>
    </row>
    <row r="53" spans="1:12" x14ac:dyDescent="0.3">
      <c r="A53" t="s">
        <v>12</v>
      </c>
      <c r="B53" t="s">
        <v>10</v>
      </c>
      <c r="C53">
        <v>1</v>
      </c>
      <c r="D53">
        <v>2</v>
      </c>
      <c r="E53">
        <v>8.6999999999999994E-3</v>
      </c>
      <c r="F53">
        <f t="shared" si="0"/>
        <v>8.6999999999999993</v>
      </c>
      <c r="G53">
        <f t="shared" si="1"/>
        <v>-4.744432253321599</v>
      </c>
    </row>
    <row r="54" spans="1:12" x14ac:dyDescent="0.3">
      <c r="A54" t="s">
        <v>12</v>
      </c>
      <c r="B54" t="s">
        <v>10</v>
      </c>
      <c r="C54">
        <v>2</v>
      </c>
      <c r="D54">
        <v>2</v>
      </c>
      <c r="E54">
        <v>9.7999999999999997E-3</v>
      </c>
      <c r="F54">
        <f t="shared" si="0"/>
        <v>9.7999999999999989</v>
      </c>
      <c r="G54">
        <f t="shared" si="1"/>
        <v>-4.6253728933056104</v>
      </c>
    </row>
    <row r="55" spans="1:12" x14ac:dyDescent="0.3">
      <c r="A55" t="s">
        <v>12</v>
      </c>
      <c r="B55" t="s">
        <v>10</v>
      </c>
      <c r="C55">
        <v>3</v>
      </c>
      <c r="D55">
        <v>2</v>
      </c>
      <c r="E55">
        <v>8.3999999999999995E-3</v>
      </c>
      <c r="F55">
        <f t="shared" si="0"/>
        <v>8.4</v>
      </c>
      <c r="G55">
        <f t="shared" si="1"/>
        <v>-4.7795235731328694</v>
      </c>
    </row>
    <row r="56" spans="1:12" x14ac:dyDescent="0.3">
      <c r="A56" t="s">
        <v>12</v>
      </c>
      <c r="B56" t="s">
        <v>10</v>
      </c>
      <c r="C56">
        <v>1</v>
      </c>
      <c r="D56">
        <v>4</v>
      </c>
      <c r="E56">
        <v>3.6999999999999998E-2</v>
      </c>
      <c r="F56">
        <f t="shared" si="0"/>
        <v>37</v>
      </c>
      <c r="G56">
        <f t="shared" si="1"/>
        <v>-3.2968373663379125</v>
      </c>
    </row>
    <row r="57" spans="1:12" x14ac:dyDescent="0.3">
      <c r="A57" t="s">
        <v>12</v>
      </c>
      <c r="B57" t="s">
        <v>10</v>
      </c>
      <c r="C57">
        <v>2</v>
      </c>
      <c r="D57">
        <v>4</v>
      </c>
      <c r="E57">
        <v>5.4199999999999998E-2</v>
      </c>
      <c r="F57">
        <f t="shared" si="0"/>
        <v>54.199999999999996</v>
      </c>
      <c r="G57">
        <f t="shared" si="1"/>
        <v>-2.9150743705365367</v>
      </c>
    </row>
    <row r="58" spans="1:12" x14ac:dyDescent="0.3">
      <c r="A58" t="s">
        <v>12</v>
      </c>
      <c r="B58" t="s">
        <v>10</v>
      </c>
      <c r="C58">
        <v>3</v>
      </c>
      <c r="D58">
        <v>4</v>
      </c>
      <c r="E58">
        <v>2.6200000000000001E-2</v>
      </c>
      <c r="F58">
        <f t="shared" si="0"/>
        <v>26.200000000000003</v>
      </c>
      <c r="G58">
        <f t="shared" si="1"/>
        <v>-3.6419958682150857</v>
      </c>
    </row>
    <row r="59" spans="1:12" x14ac:dyDescent="0.3">
      <c r="A59" t="s">
        <v>12</v>
      </c>
      <c r="B59" t="s">
        <v>10</v>
      </c>
      <c r="C59">
        <v>1</v>
      </c>
      <c r="D59">
        <v>6</v>
      </c>
      <c r="E59">
        <v>0.10440000000000001</v>
      </c>
      <c r="F59">
        <f t="shared" si="0"/>
        <v>104.4</v>
      </c>
      <c r="G59">
        <f t="shared" si="1"/>
        <v>-2.2595256035335987</v>
      </c>
    </row>
    <row r="60" spans="1:12" x14ac:dyDescent="0.3">
      <c r="A60" t="s">
        <v>12</v>
      </c>
      <c r="B60" t="s">
        <v>10</v>
      </c>
      <c r="C60">
        <v>2</v>
      </c>
      <c r="D60">
        <v>6</v>
      </c>
      <c r="E60">
        <v>0.1052</v>
      </c>
      <c r="F60">
        <f t="shared" si="0"/>
        <v>105.2</v>
      </c>
      <c r="G60">
        <f t="shared" si="1"/>
        <v>-2.2518919786785276</v>
      </c>
    </row>
    <row r="61" spans="1:12" x14ac:dyDescent="0.3">
      <c r="A61" t="s">
        <v>12</v>
      </c>
      <c r="B61" t="s">
        <v>10</v>
      </c>
      <c r="C61">
        <v>3</v>
      </c>
      <c r="D61">
        <v>6</v>
      </c>
      <c r="E61">
        <v>8.1199999999999994E-2</v>
      </c>
      <c r="F61">
        <f t="shared" si="0"/>
        <v>81.199999999999989</v>
      </c>
      <c r="G61">
        <f t="shared" si="1"/>
        <v>-2.5108400318145048</v>
      </c>
    </row>
    <row r="62" spans="1:12" x14ac:dyDescent="0.3">
      <c r="A62" t="s">
        <v>12</v>
      </c>
      <c r="B62" t="s">
        <v>10</v>
      </c>
      <c r="C62">
        <v>1</v>
      </c>
      <c r="D62">
        <v>8</v>
      </c>
      <c r="E62">
        <v>0.2092</v>
      </c>
      <c r="F62">
        <f t="shared" si="0"/>
        <v>209.2</v>
      </c>
      <c r="G62">
        <f t="shared" si="1"/>
        <v>-1.5644645467913691</v>
      </c>
    </row>
    <row r="63" spans="1:12" x14ac:dyDescent="0.3">
      <c r="A63" t="s">
        <v>12</v>
      </c>
      <c r="B63" t="s">
        <v>10</v>
      </c>
      <c r="C63">
        <v>2</v>
      </c>
      <c r="D63">
        <v>8</v>
      </c>
      <c r="E63">
        <v>0.2336</v>
      </c>
      <c r="F63">
        <f t="shared" si="0"/>
        <v>233.6</v>
      </c>
      <c r="G63">
        <f t="shared" si="1"/>
        <v>-1.454145028028065</v>
      </c>
    </row>
    <row r="64" spans="1:12" x14ac:dyDescent="0.3">
      <c r="A64" t="s">
        <v>12</v>
      </c>
      <c r="B64" t="s">
        <v>10</v>
      </c>
      <c r="C64">
        <v>3</v>
      </c>
      <c r="D64">
        <v>8</v>
      </c>
      <c r="E64">
        <v>0.21340000000000001</v>
      </c>
      <c r="F64">
        <f t="shared" si="0"/>
        <v>213.4</v>
      </c>
      <c r="G64">
        <f t="shared" si="1"/>
        <v>-1.5445869401144841</v>
      </c>
    </row>
    <row r="65" spans="1:7" x14ac:dyDescent="0.3">
      <c r="A65" t="s">
        <v>12</v>
      </c>
      <c r="B65" t="s">
        <v>10</v>
      </c>
      <c r="C65">
        <v>1</v>
      </c>
      <c r="D65">
        <v>10</v>
      </c>
      <c r="E65">
        <v>0.28820000000000001</v>
      </c>
      <c r="F65">
        <f t="shared" si="0"/>
        <v>288.2</v>
      </c>
      <c r="G65">
        <f t="shared" si="1"/>
        <v>-1.2441005954167152</v>
      </c>
    </row>
    <row r="66" spans="1:7" x14ac:dyDescent="0.3">
      <c r="A66" t="s">
        <v>12</v>
      </c>
      <c r="B66" t="s">
        <v>10</v>
      </c>
      <c r="C66">
        <v>2</v>
      </c>
      <c r="D66">
        <v>10</v>
      </c>
      <c r="E66">
        <v>0.30649999999999999</v>
      </c>
      <c r="F66">
        <f t="shared" si="0"/>
        <v>306.5</v>
      </c>
      <c r="G66">
        <f t="shared" si="1"/>
        <v>-1.1825375236058711</v>
      </c>
    </row>
    <row r="67" spans="1:7" x14ac:dyDescent="0.3">
      <c r="A67" t="s">
        <v>12</v>
      </c>
      <c r="B67" t="s">
        <v>10</v>
      </c>
      <c r="C67">
        <v>3</v>
      </c>
      <c r="D67">
        <v>10</v>
      </c>
      <c r="E67">
        <v>0.28370000000000001</v>
      </c>
      <c r="F67">
        <f t="shared" ref="F67:F130" si="2">E67*1000</f>
        <v>283.7</v>
      </c>
      <c r="G67">
        <f t="shared" ref="G67:G130" si="3">LN(E67)</f>
        <v>-1.2598379371673314</v>
      </c>
    </row>
    <row r="68" spans="1:7" x14ac:dyDescent="0.3">
      <c r="A68" t="s">
        <v>12</v>
      </c>
      <c r="B68" t="s">
        <v>10</v>
      </c>
      <c r="C68">
        <v>1</v>
      </c>
      <c r="D68">
        <v>12</v>
      </c>
      <c r="E68">
        <v>0.32640000000000002</v>
      </c>
      <c r="F68">
        <f t="shared" si="2"/>
        <v>326.40000000000003</v>
      </c>
      <c r="G68">
        <f t="shared" si="3"/>
        <v>-1.1196316558921851</v>
      </c>
    </row>
    <row r="69" spans="1:7" x14ac:dyDescent="0.3">
      <c r="A69" t="s">
        <v>12</v>
      </c>
      <c r="B69" t="s">
        <v>10</v>
      </c>
      <c r="C69">
        <v>2</v>
      </c>
      <c r="D69">
        <v>12</v>
      </c>
      <c r="E69">
        <v>0.29430000000000001</v>
      </c>
      <c r="F69">
        <f t="shared" si="2"/>
        <v>294.3</v>
      </c>
      <c r="G69">
        <f t="shared" si="3"/>
        <v>-1.2231556237427099</v>
      </c>
    </row>
    <row r="70" spans="1:7" x14ac:dyDescent="0.3">
      <c r="A70" t="s">
        <v>12</v>
      </c>
      <c r="B70" t="s">
        <v>10</v>
      </c>
      <c r="C70">
        <v>3</v>
      </c>
      <c r="D70">
        <v>12</v>
      </c>
      <c r="E70">
        <v>0.30480000000000002</v>
      </c>
      <c r="F70">
        <f t="shared" si="2"/>
        <v>304.8</v>
      </c>
      <c r="G70">
        <f t="shared" si="3"/>
        <v>-1.1880994551696458</v>
      </c>
    </row>
    <row r="71" spans="1:7" x14ac:dyDescent="0.3">
      <c r="A71" t="s">
        <v>12</v>
      </c>
      <c r="B71" t="s">
        <v>10</v>
      </c>
      <c r="C71">
        <v>1</v>
      </c>
      <c r="D71">
        <v>14</v>
      </c>
      <c r="E71">
        <v>0.33310000000000001</v>
      </c>
      <c r="F71">
        <f t="shared" si="2"/>
        <v>333.1</v>
      </c>
      <c r="G71">
        <f t="shared" si="3"/>
        <v>-1.0993125337825032</v>
      </c>
    </row>
    <row r="72" spans="1:7" x14ac:dyDescent="0.3">
      <c r="A72" t="s">
        <v>12</v>
      </c>
      <c r="B72" t="s">
        <v>10</v>
      </c>
      <c r="C72">
        <v>2</v>
      </c>
      <c r="D72">
        <v>14</v>
      </c>
      <c r="E72">
        <v>0.32290000000000002</v>
      </c>
      <c r="F72">
        <f t="shared" si="2"/>
        <v>322.90000000000003</v>
      </c>
      <c r="G72">
        <f t="shared" si="3"/>
        <v>-1.1304126012179074</v>
      </c>
    </row>
    <row r="73" spans="1:7" x14ac:dyDescent="0.3">
      <c r="A73" t="s">
        <v>12</v>
      </c>
      <c r="B73" t="s">
        <v>10</v>
      </c>
      <c r="C73">
        <v>3</v>
      </c>
      <c r="D73">
        <v>14</v>
      </c>
      <c r="E73">
        <v>0.3105</v>
      </c>
      <c r="F73">
        <f t="shared" si="2"/>
        <v>310.5</v>
      </c>
      <c r="G73">
        <f t="shared" si="3"/>
        <v>-1.1695713776086036</v>
      </c>
    </row>
    <row r="74" spans="1:7" x14ac:dyDescent="0.3">
      <c r="A74" t="s">
        <v>13</v>
      </c>
      <c r="B74" t="s">
        <v>10</v>
      </c>
      <c r="C74">
        <v>1</v>
      </c>
      <c r="D74">
        <v>0</v>
      </c>
      <c r="E74">
        <v>2.8600000000000001E-3</v>
      </c>
      <c r="F74">
        <f t="shared" si="2"/>
        <v>2.8600000000000003</v>
      </c>
      <c r="G74">
        <f t="shared" si="3"/>
        <v>-5.8569336541503754</v>
      </c>
    </row>
    <row r="75" spans="1:7" x14ac:dyDescent="0.3">
      <c r="A75" t="s">
        <v>13</v>
      </c>
      <c r="B75" t="s">
        <v>10</v>
      </c>
      <c r="C75">
        <v>2</v>
      </c>
      <c r="D75">
        <v>0</v>
      </c>
      <c r="E75">
        <v>3.0733330000000001E-3</v>
      </c>
      <c r="F75">
        <f t="shared" si="2"/>
        <v>3.0733330000000003</v>
      </c>
      <c r="G75">
        <f t="shared" si="3"/>
        <v>-5.7849926385416204</v>
      </c>
    </row>
    <row r="76" spans="1:7" x14ac:dyDescent="0.3">
      <c r="A76" t="s">
        <v>13</v>
      </c>
      <c r="B76" t="s">
        <v>10</v>
      </c>
      <c r="C76">
        <v>3</v>
      </c>
      <c r="D76">
        <v>0</v>
      </c>
      <c r="E76">
        <v>2.9933329999999999E-3</v>
      </c>
      <c r="F76">
        <f t="shared" si="2"/>
        <v>2.9933329999999998</v>
      </c>
      <c r="G76">
        <f t="shared" si="3"/>
        <v>-5.8113677966947197</v>
      </c>
    </row>
    <row r="77" spans="1:7" x14ac:dyDescent="0.3">
      <c r="A77" t="s">
        <v>13</v>
      </c>
      <c r="B77" t="s">
        <v>10</v>
      </c>
      <c r="C77">
        <v>1</v>
      </c>
      <c r="D77">
        <v>2</v>
      </c>
      <c r="E77">
        <v>1.2999999999999999E-2</v>
      </c>
      <c r="F77">
        <f t="shared" si="2"/>
        <v>13</v>
      </c>
      <c r="G77">
        <f t="shared" si="3"/>
        <v>-4.3428059215206005</v>
      </c>
    </row>
    <row r="78" spans="1:7" x14ac:dyDescent="0.3">
      <c r="A78" t="s">
        <v>13</v>
      </c>
      <c r="B78" t="s">
        <v>10</v>
      </c>
      <c r="C78">
        <v>2</v>
      </c>
      <c r="D78">
        <v>2</v>
      </c>
      <c r="E78">
        <v>1.41E-2</v>
      </c>
      <c r="F78">
        <f t="shared" si="2"/>
        <v>14.1</v>
      </c>
      <c r="G78">
        <f t="shared" si="3"/>
        <v>-4.2615804815980143</v>
      </c>
    </row>
    <row r="79" spans="1:7" x14ac:dyDescent="0.3">
      <c r="A79" t="s">
        <v>13</v>
      </c>
      <c r="B79" t="s">
        <v>10</v>
      </c>
      <c r="C79">
        <v>3</v>
      </c>
      <c r="D79">
        <v>2</v>
      </c>
      <c r="E79">
        <v>9.4000000000000004E-3</v>
      </c>
      <c r="F79">
        <f t="shared" si="2"/>
        <v>9.4</v>
      </c>
      <c r="G79">
        <f t="shared" si="3"/>
        <v>-4.6670455897061789</v>
      </c>
    </row>
    <row r="80" spans="1:7" x14ac:dyDescent="0.3">
      <c r="A80" t="s">
        <v>13</v>
      </c>
      <c r="B80" t="s">
        <v>10</v>
      </c>
      <c r="C80">
        <v>1</v>
      </c>
      <c r="D80">
        <v>4</v>
      </c>
      <c r="E80">
        <v>4.4400000000000002E-2</v>
      </c>
      <c r="F80">
        <f t="shared" si="2"/>
        <v>44.4</v>
      </c>
      <c r="G80">
        <f t="shared" si="3"/>
        <v>-3.114515809543958</v>
      </c>
    </row>
    <row r="81" spans="1:7" x14ac:dyDescent="0.3">
      <c r="A81" t="s">
        <v>13</v>
      </c>
      <c r="B81" t="s">
        <v>10</v>
      </c>
      <c r="C81">
        <v>2</v>
      </c>
      <c r="D81">
        <v>4</v>
      </c>
      <c r="E81">
        <v>3.6999999999999998E-2</v>
      </c>
      <c r="F81">
        <f t="shared" si="2"/>
        <v>37</v>
      </c>
      <c r="G81">
        <f t="shared" si="3"/>
        <v>-3.2968373663379125</v>
      </c>
    </row>
    <row r="82" spans="1:7" x14ac:dyDescent="0.3">
      <c r="A82" t="s">
        <v>13</v>
      </c>
      <c r="B82" t="s">
        <v>10</v>
      </c>
      <c r="C82">
        <v>3</v>
      </c>
      <c r="D82">
        <v>4</v>
      </c>
      <c r="E82">
        <v>2.4400000000000002E-2</v>
      </c>
      <c r="F82">
        <f t="shared" si="2"/>
        <v>24.400000000000002</v>
      </c>
      <c r="G82">
        <f t="shared" si="3"/>
        <v>-3.713172146682981</v>
      </c>
    </row>
    <row r="83" spans="1:7" x14ac:dyDescent="0.3">
      <c r="A83" t="s">
        <v>13</v>
      </c>
      <c r="B83" t="s">
        <v>10</v>
      </c>
      <c r="C83">
        <v>1</v>
      </c>
      <c r="D83">
        <v>6</v>
      </c>
      <c r="E83">
        <v>0.11210000000000001</v>
      </c>
      <c r="F83">
        <f t="shared" si="2"/>
        <v>112.10000000000001</v>
      </c>
      <c r="G83">
        <f t="shared" si="3"/>
        <v>-2.1883639489040227</v>
      </c>
    </row>
    <row r="84" spans="1:7" x14ac:dyDescent="0.3">
      <c r="A84" t="s">
        <v>13</v>
      </c>
      <c r="B84" t="s">
        <v>10</v>
      </c>
      <c r="C84">
        <v>2</v>
      </c>
      <c r="D84">
        <v>6</v>
      </c>
      <c r="E84">
        <v>0.1087</v>
      </c>
      <c r="F84">
        <f t="shared" si="2"/>
        <v>108.7</v>
      </c>
      <c r="G84">
        <f t="shared" si="3"/>
        <v>-2.2191634848549731</v>
      </c>
    </row>
    <row r="85" spans="1:7" x14ac:dyDescent="0.3">
      <c r="A85" t="s">
        <v>13</v>
      </c>
      <c r="B85" t="s">
        <v>10</v>
      </c>
      <c r="C85">
        <v>3</v>
      </c>
      <c r="D85">
        <v>6</v>
      </c>
      <c r="E85">
        <v>9.1899999999999996E-2</v>
      </c>
      <c r="F85">
        <f t="shared" si="2"/>
        <v>91.899999999999991</v>
      </c>
      <c r="G85">
        <f t="shared" si="3"/>
        <v>-2.3870542496204958</v>
      </c>
    </row>
    <row r="86" spans="1:7" x14ac:dyDescent="0.3">
      <c r="A86" t="s">
        <v>13</v>
      </c>
      <c r="B86" t="s">
        <v>10</v>
      </c>
      <c r="C86">
        <v>1</v>
      </c>
      <c r="D86">
        <v>8</v>
      </c>
      <c r="E86">
        <v>0.21099999999999999</v>
      </c>
      <c r="F86">
        <f t="shared" si="2"/>
        <v>211</v>
      </c>
      <c r="G86">
        <f t="shared" si="3"/>
        <v>-1.5558971455060706</v>
      </c>
    </row>
    <row r="87" spans="1:7" x14ac:dyDescent="0.3">
      <c r="A87" t="s">
        <v>13</v>
      </c>
      <c r="B87" t="s">
        <v>10</v>
      </c>
      <c r="C87">
        <v>2</v>
      </c>
      <c r="D87">
        <v>8</v>
      </c>
      <c r="E87">
        <v>0.2165</v>
      </c>
      <c r="F87">
        <f t="shared" si="2"/>
        <v>216.5</v>
      </c>
      <c r="G87">
        <f t="shared" si="3"/>
        <v>-1.5301647315395925</v>
      </c>
    </row>
    <row r="88" spans="1:7" x14ac:dyDescent="0.3">
      <c r="A88" t="s">
        <v>13</v>
      </c>
      <c r="B88" t="s">
        <v>10</v>
      </c>
      <c r="C88">
        <v>3</v>
      </c>
      <c r="D88">
        <v>8</v>
      </c>
      <c r="E88">
        <v>0.21379999999999999</v>
      </c>
      <c r="F88">
        <f t="shared" si="2"/>
        <v>213.79999999999998</v>
      </c>
      <c r="G88">
        <f t="shared" si="3"/>
        <v>-1.5427142803911922</v>
      </c>
    </row>
    <row r="89" spans="1:7" x14ac:dyDescent="0.3">
      <c r="A89" t="s">
        <v>13</v>
      </c>
      <c r="B89" t="s">
        <v>10</v>
      </c>
      <c r="C89">
        <v>1</v>
      </c>
      <c r="D89">
        <v>10</v>
      </c>
      <c r="E89">
        <v>0.29430000000000001</v>
      </c>
      <c r="F89">
        <f t="shared" si="2"/>
        <v>294.3</v>
      </c>
      <c r="G89">
        <f t="shared" si="3"/>
        <v>-1.2231556237427099</v>
      </c>
    </row>
    <row r="90" spans="1:7" x14ac:dyDescent="0.3">
      <c r="A90" t="s">
        <v>13</v>
      </c>
      <c r="B90" t="s">
        <v>10</v>
      </c>
      <c r="C90">
        <v>2</v>
      </c>
      <c r="D90">
        <v>10</v>
      </c>
      <c r="E90">
        <v>0.28960000000000002</v>
      </c>
      <c r="F90">
        <f t="shared" si="2"/>
        <v>289.60000000000002</v>
      </c>
      <c r="G90">
        <f t="shared" si="3"/>
        <v>-1.2392546184705757</v>
      </c>
    </row>
    <row r="91" spans="1:7" x14ac:dyDescent="0.3">
      <c r="A91" t="s">
        <v>13</v>
      </c>
      <c r="B91" t="s">
        <v>10</v>
      </c>
      <c r="C91">
        <v>3</v>
      </c>
      <c r="D91">
        <v>10</v>
      </c>
      <c r="E91">
        <v>0.27160000000000001</v>
      </c>
      <c r="F91">
        <f t="shared" si="2"/>
        <v>271.60000000000002</v>
      </c>
      <c r="G91">
        <f t="shared" si="3"/>
        <v>-1.3034248832975959</v>
      </c>
    </row>
    <row r="92" spans="1:7" x14ac:dyDescent="0.3">
      <c r="A92" t="s">
        <v>13</v>
      </c>
      <c r="B92" t="s">
        <v>10</v>
      </c>
      <c r="C92">
        <v>1</v>
      </c>
      <c r="D92">
        <v>12</v>
      </c>
      <c r="E92">
        <v>0.30059999999999998</v>
      </c>
      <c r="F92">
        <f t="shared" si="2"/>
        <v>300.59999999999997</v>
      </c>
      <c r="G92">
        <f t="shared" si="3"/>
        <v>-1.201974801663263</v>
      </c>
    </row>
    <row r="93" spans="1:7" x14ac:dyDescent="0.3">
      <c r="A93" t="s">
        <v>13</v>
      </c>
      <c r="B93" t="s">
        <v>10</v>
      </c>
      <c r="C93">
        <v>2</v>
      </c>
      <c r="D93">
        <v>12</v>
      </c>
      <c r="E93">
        <v>0.30320000000000003</v>
      </c>
      <c r="F93">
        <f t="shared" si="2"/>
        <v>303.20000000000005</v>
      </c>
      <c r="G93">
        <f t="shared" si="3"/>
        <v>-1.1933626252139204</v>
      </c>
    </row>
    <row r="94" spans="1:7" x14ac:dyDescent="0.3">
      <c r="A94" t="s">
        <v>13</v>
      </c>
      <c r="B94" t="s">
        <v>10</v>
      </c>
      <c r="C94">
        <v>3</v>
      </c>
      <c r="D94">
        <v>12</v>
      </c>
      <c r="E94">
        <v>0.30399999999999999</v>
      </c>
      <c r="F94">
        <f t="shared" si="2"/>
        <v>304</v>
      </c>
      <c r="G94">
        <f t="shared" si="3"/>
        <v>-1.1907275775759154</v>
      </c>
    </row>
    <row r="95" spans="1:7" x14ac:dyDescent="0.3">
      <c r="A95" t="s">
        <v>13</v>
      </c>
      <c r="B95" t="s">
        <v>10</v>
      </c>
      <c r="C95">
        <v>1</v>
      </c>
      <c r="D95">
        <v>14</v>
      </c>
      <c r="E95">
        <v>0.33660000000000001</v>
      </c>
      <c r="F95">
        <f t="shared" si="2"/>
        <v>336.6</v>
      </c>
      <c r="G95">
        <f t="shared" si="3"/>
        <v>-1.0888599972254314</v>
      </c>
    </row>
    <row r="96" spans="1:7" x14ac:dyDescent="0.3">
      <c r="A96" t="s">
        <v>13</v>
      </c>
      <c r="B96" t="s">
        <v>10</v>
      </c>
      <c r="C96">
        <v>2</v>
      </c>
      <c r="D96">
        <v>14</v>
      </c>
      <c r="E96">
        <v>0.33150000000000002</v>
      </c>
      <c r="F96">
        <f t="shared" si="2"/>
        <v>331.5</v>
      </c>
      <c r="G96">
        <f t="shared" si="3"/>
        <v>-1.1041274693562197</v>
      </c>
    </row>
    <row r="97" spans="1:7" x14ac:dyDescent="0.3">
      <c r="A97" t="s">
        <v>13</v>
      </c>
      <c r="B97" t="s">
        <v>10</v>
      </c>
      <c r="C97">
        <v>3</v>
      </c>
      <c r="D97">
        <v>14</v>
      </c>
      <c r="E97">
        <v>0.33510000000000001</v>
      </c>
      <c r="F97">
        <f t="shared" si="2"/>
        <v>335.1</v>
      </c>
      <c r="G97">
        <f t="shared" si="3"/>
        <v>-1.0933262842388722</v>
      </c>
    </row>
    <row r="98" spans="1:7" x14ac:dyDescent="0.3">
      <c r="A98" t="s">
        <v>14</v>
      </c>
      <c r="B98" t="s">
        <v>10</v>
      </c>
      <c r="C98">
        <v>1</v>
      </c>
      <c r="D98">
        <v>0</v>
      </c>
      <c r="E98">
        <v>2.343333E-3</v>
      </c>
      <c r="F98">
        <f t="shared" si="2"/>
        <v>2.3433329999999999</v>
      </c>
      <c r="G98">
        <f t="shared" si="3"/>
        <v>-6.056181004075194</v>
      </c>
    </row>
    <row r="99" spans="1:7" x14ac:dyDescent="0.3">
      <c r="A99" t="s">
        <v>14</v>
      </c>
      <c r="B99" t="s">
        <v>10</v>
      </c>
      <c r="C99">
        <v>2</v>
      </c>
      <c r="D99">
        <v>0</v>
      </c>
      <c r="E99">
        <v>1.776667E-3</v>
      </c>
      <c r="F99">
        <f t="shared" si="2"/>
        <v>1.776667</v>
      </c>
      <c r="G99">
        <f t="shared" si="3"/>
        <v>-6.33301614185525</v>
      </c>
    </row>
    <row r="100" spans="1:7" x14ac:dyDescent="0.3">
      <c r="A100" t="s">
        <v>14</v>
      </c>
      <c r="B100" t="s">
        <v>10</v>
      </c>
      <c r="C100">
        <v>3</v>
      </c>
      <c r="D100">
        <v>0</v>
      </c>
      <c r="E100">
        <v>1.7366669999999999E-3</v>
      </c>
      <c r="F100">
        <f t="shared" si="2"/>
        <v>1.736667</v>
      </c>
      <c r="G100">
        <f t="shared" si="3"/>
        <v>-6.3557875199464098</v>
      </c>
    </row>
    <row r="101" spans="1:7" x14ac:dyDescent="0.3">
      <c r="A101" t="s">
        <v>14</v>
      </c>
      <c r="B101" t="s">
        <v>10</v>
      </c>
      <c r="C101">
        <v>1</v>
      </c>
      <c r="D101">
        <v>2</v>
      </c>
      <c r="E101">
        <v>6.0000000000000001E-3</v>
      </c>
      <c r="F101">
        <f t="shared" si="2"/>
        <v>6</v>
      </c>
      <c r="G101">
        <f t="shared" si="3"/>
        <v>-5.1159958097540823</v>
      </c>
    </row>
    <row r="102" spans="1:7" x14ac:dyDescent="0.3">
      <c r="A102" t="s">
        <v>14</v>
      </c>
      <c r="B102" t="s">
        <v>10</v>
      </c>
      <c r="C102">
        <v>2</v>
      </c>
      <c r="D102">
        <v>2</v>
      </c>
      <c r="E102">
        <v>6.7000000000000002E-3</v>
      </c>
      <c r="F102">
        <f t="shared" si="2"/>
        <v>6.7</v>
      </c>
      <c r="G102">
        <f t="shared" si="3"/>
        <v>-5.005647752585217</v>
      </c>
    </row>
    <row r="103" spans="1:7" x14ac:dyDescent="0.3">
      <c r="A103" t="s">
        <v>14</v>
      </c>
      <c r="B103" t="s">
        <v>10</v>
      </c>
      <c r="C103">
        <v>3</v>
      </c>
      <c r="D103">
        <v>2</v>
      </c>
      <c r="E103">
        <v>8.5000000000000006E-3</v>
      </c>
      <c r="F103">
        <f t="shared" si="2"/>
        <v>8.5</v>
      </c>
      <c r="G103">
        <f t="shared" si="3"/>
        <v>-4.767689115485866</v>
      </c>
    </row>
    <row r="104" spans="1:7" x14ac:dyDescent="0.3">
      <c r="A104" t="s">
        <v>14</v>
      </c>
      <c r="B104" t="s">
        <v>10</v>
      </c>
      <c r="C104">
        <v>1</v>
      </c>
      <c r="D104">
        <v>4</v>
      </c>
      <c r="E104">
        <v>2.4400000000000002E-2</v>
      </c>
      <c r="F104">
        <f t="shared" si="2"/>
        <v>24.400000000000002</v>
      </c>
      <c r="G104">
        <f t="shared" si="3"/>
        <v>-3.713172146682981</v>
      </c>
    </row>
    <row r="105" spans="1:7" x14ac:dyDescent="0.3">
      <c r="A105" t="s">
        <v>14</v>
      </c>
      <c r="B105" t="s">
        <v>10</v>
      </c>
      <c r="C105">
        <v>2</v>
      </c>
      <c r="D105">
        <v>4</v>
      </c>
      <c r="E105">
        <v>2.24E-2</v>
      </c>
      <c r="F105">
        <f t="shared" si="2"/>
        <v>22.4</v>
      </c>
      <c r="G105">
        <f t="shared" si="3"/>
        <v>-3.7986943201211427</v>
      </c>
    </row>
    <row r="106" spans="1:7" x14ac:dyDescent="0.3">
      <c r="A106" t="s">
        <v>14</v>
      </c>
      <c r="B106" t="s">
        <v>10</v>
      </c>
      <c r="C106">
        <v>3</v>
      </c>
      <c r="D106">
        <v>4</v>
      </c>
      <c r="E106">
        <v>2.12E-2</v>
      </c>
      <c r="F106">
        <f t="shared" si="2"/>
        <v>21.2</v>
      </c>
      <c r="G106">
        <f t="shared" si="3"/>
        <v>-3.8537540973041704</v>
      </c>
    </row>
    <row r="107" spans="1:7" x14ac:dyDescent="0.3">
      <c r="A107" t="s">
        <v>14</v>
      </c>
      <c r="B107" t="s">
        <v>10</v>
      </c>
      <c r="C107">
        <v>1</v>
      </c>
      <c r="D107">
        <v>6</v>
      </c>
      <c r="E107">
        <v>5.9499999999999997E-2</v>
      </c>
      <c r="F107">
        <f t="shared" si="2"/>
        <v>59.5</v>
      </c>
      <c r="G107">
        <f t="shared" si="3"/>
        <v>-2.821778966430553</v>
      </c>
    </row>
    <row r="108" spans="1:7" x14ac:dyDescent="0.3">
      <c r="A108" t="s">
        <v>14</v>
      </c>
      <c r="B108" t="s">
        <v>10</v>
      </c>
      <c r="C108">
        <v>2</v>
      </c>
      <c r="D108">
        <v>6</v>
      </c>
      <c r="E108">
        <v>6.5500000000000003E-2</v>
      </c>
      <c r="F108">
        <f t="shared" si="2"/>
        <v>65.5</v>
      </c>
      <c r="G108">
        <f t="shared" si="3"/>
        <v>-2.7257051363409306</v>
      </c>
    </row>
    <row r="109" spans="1:7" x14ac:dyDescent="0.3">
      <c r="A109" t="s">
        <v>14</v>
      </c>
      <c r="B109" t="s">
        <v>10</v>
      </c>
      <c r="C109">
        <v>3</v>
      </c>
      <c r="D109">
        <v>6</v>
      </c>
      <c r="E109">
        <v>6.8599999999999994E-2</v>
      </c>
      <c r="F109">
        <f t="shared" si="2"/>
        <v>68.599999999999994</v>
      </c>
      <c r="G109">
        <f t="shared" si="3"/>
        <v>-2.6794627442502974</v>
      </c>
    </row>
    <row r="110" spans="1:7" x14ac:dyDescent="0.3">
      <c r="A110" t="s">
        <v>14</v>
      </c>
      <c r="B110" t="s">
        <v>10</v>
      </c>
      <c r="C110">
        <v>1</v>
      </c>
      <c r="D110">
        <v>8</v>
      </c>
      <c r="E110">
        <v>0.1953</v>
      </c>
      <c r="F110">
        <f t="shared" si="2"/>
        <v>195.3</v>
      </c>
      <c r="G110">
        <f t="shared" si="3"/>
        <v>-1.6332184410995039</v>
      </c>
    </row>
    <row r="111" spans="1:7" x14ac:dyDescent="0.3">
      <c r="A111" t="s">
        <v>14</v>
      </c>
      <c r="B111" t="s">
        <v>10</v>
      </c>
      <c r="C111">
        <v>2</v>
      </c>
      <c r="D111">
        <v>8</v>
      </c>
      <c r="E111">
        <v>0.17929999999999999</v>
      </c>
      <c r="F111">
        <f t="shared" si="2"/>
        <v>179.29999999999998</v>
      </c>
      <c r="G111">
        <f t="shared" si="3"/>
        <v>-1.7186948983710499</v>
      </c>
    </row>
    <row r="112" spans="1:7" x14ac:dyDescent="0.3">
      <c r="A112" t="s">
        <v>14</v>
      </c>
      <c r="B112" t="s">
        <v>10</v>
      </c>
      <c r="C112">
        <v>3</v>
      </c>
      <c r="D112">
        <v>8</v>
      </c>
      <c r="E112">
        <v>0.19309999999999999</v>
      </c>
      <c r="F112">
        <f t="shared" si="2"/>
        <v>193.1</v>
      </c>
      <c r="G112">
        <f t="shared" si="3"/>
        <v>-1.6445470895476684</v>
      </c>
    </row>
    <row r="113" spans="1:7" x14ac:dyDescent="0.3">
      <c r="A113" t="s">
        <v>14</v>
      </c>
      <c r="B113" t="s">
        <v>10</v>
      </c>
      <c r="C113">
        <v>1</v>
      </c>
      <c r="D113">
        <v>10</v>
      </c>
      <c r="E113">
        <v>0.27079999999999999</v>
      </c>
      <c r="F113">
        <f t="shared" si="2"/>
        <v>270.8</v>
      </c>
      <c r="G113">
        <f t="shared" si="3"/>
        <v>-1.3063747379440172</v>
      </c>
    </row>
    <row r="114" spans="1:7" x14ac:dyDescent="0.3">
      <c r="A114" t="s">
        <v>14</v>
      </c>
      <c r="B114" t="s">
        <v>10</v>
      </c>
      <c r="C114">
        <v>2</v>
      </c>
      <c r="D114">
        <v>10</v>
      </c>
      <c r="E114">
        <v>0.29320000000000002</v>
      </c>
      <c r="F114">
        <f t="shared" si="2"/>
        <v>293.2</v>
      </c>
      <c r="G114">
        <f t="shared" si="3"/>
        <v>-1.2269003089696406</v>
      </c>
    </row>
    <row r="115" spans="1:7" x14ac:dyDescent="0.3">
      <c r="A115" t="s">
        <v>14</v>
      </c>
      <c r="B115" t="s">
        <v>10</v>
      </c>
      <c r="C115">
        <v>3</v>
      </c>
      <c r="D115">
        <v>10</v>
      </c>
      <c r="E115">
        <v>0.27189999999999998</v>
      </c>
      <c r="F115">
        <f t="shared" si="2"/>
        <v>271.89999999999998</v>
      </c>
      <c r="G115">
        <f t="shared" si="3"/>
        <v>-1.3023209273437122</v>
      </c>
    </row>
    <row r="116" spans="1:7" x14ac:dyDescent="0.3">
      <c r="A116" t="s">
        <v>14</v>
      </c>
      <c r="B116" t="s">
        <v>10</v>
      </c>
      <c r="C116">
        <v>1</v>
      </c>
      <c r="D116">
        <v>12</v>
      </c>
      <c r="E116">
        <v>0.31580000000000003</v>
      </c>
      <c r="F116">
        <f t="shared" si="2"/>
        <v>315.8</v>
      </c>
      <c r="G116">
        <f t="shared" si="3"/>
        <v>-1.1526461771605954</v>
      </c>
    </row>
    <row r="117" spans="1:7" x14ac:dyDescent="0.3">
      <c r="A117" t="s">
        <v>14</v>
      </c>
      <c r="B117" t="s">
        <v>10</v>
      </c>
      <c r="C117">
        <v>2</v>
      </c>
      <c r="D117">
        <v>12</v>
      </c>
      <c r="E117">
        <v>0.30420000000000003</v>
      </c>
      <c r="F117">
        <f t="shared" si="2"/>
        <v>304.20000000000005</v>
      </c>
      <c r="G117">
        <f t="shared" si="3"/>
        <v>-1.1900698991569445</v>
      </c>
    </row>
    <row r="118" spans="1:7" x14ac:dyDescent="0.3">
      <c r="A118" t="s">
        <v>14</v>
      </c>
      <c r="B118" t="s">
        <v>10</v>
      </c>
      <c r="C118">
        <v>3</v>
      </c>
      <c r="D118">
        <v>12</v>
      </c>
      <c r="E118">
        <v>0.30259999999999998</v>
      </c>
      <c r="F118">
        <f t="shared" si="2"/>
        <v>302.59999999999997</v>
      </c>
      <c r="G118">
        <f t="shared" si="3"/>
        <v>-1.1953434776278815</v>
      </c>
    </row>
    <row r="119" spans="1:7" x14ac:dyDescent="0.3">
      <c r="A119" t="s">
        <v>14</v>
      </c>
      <c r="B119" t="s">
        <v>10</v>
      </c>
      <c r="C119">
        <v>1</v>
      </c>
      <c r="D119">
        <v>14</v>
      </c>
      <c r="E119">
        <v>0.31580000000000003</v>
      </c>
      <c r="F119">
        <f t="shared" si="2"/>
        <v>315.8</v>
      </c>
      <c r="G119">
        <f t="shared" si="3"/>
        <v>-1.1526461771605954</v>
      </c>
    </row>
    <row r="120" spans="1:7" x14ac:dyDescent="0.3">
      <c r="A120" t="s">
        <v>14</v>
      </c>
      <c r="B120" t="s">
        <v>10</v>
      </c>
      <c r="C120">
        <v>2</v>
      </c>
      <c r="D120">
        <v>14</v>
      </c>
      <c r="E120">
        <v>0.30420000000000003</v>
      </c>
      <c r="F120">
        <f t="shared" si="2"/>
        <v>304.20000000000005</v>
      </c>
      <c r="G120">
        <f t="shared" si="3"/>
        <v>-1.1900698991569445</v>
      </c>
    </row>
    <row r="121" spans="1:7" x14ac:dyDescent="0.3">
      <c r="A121" t="s">
        <v>14</v>
      </c>
      <c r="B121" t="s">
        <v>10</v>
      </c>
      <c r="C121">
        <v>3</v>
      </c>
      <c r="D121">
        <v>14</v>
      </c>
      <c r="E121">
        <v>0.30259999999999998</v>
      </c>
      <c r="F121">
        <f t="shared" si="2"/>
        <v>302.59999999999997</v>
      </c>
      <c r="G121">
        <f t="shared" si="3"/>
        <v>-1.1953434776278815</v>
      </c>
    </row>
    <row r="122" spans="1:7" x14ac:dyDescent="0.3">
      <c r="A122" t="s">
        <v>15</v>
      </c>
      <c r="B122" t="s">
        <v>10</v>
      </c>
      <c r="C122">
        <v>1</v>
      </c>
      <c r="D122">
        <v>0</v>
      </c>
      <c r="E122">
        <v>1.353333E-3</v>
      </c>
      <c r="F122">
        <f t="shared" si="2"/>
        <v>1.3533329999999999</v>
      </c>
      <c r="G122">
        <f t="shared" si="3"/>
        <v>-6.6051848403420541</v>
      </c>
    </row>
    <row r="123" spans="1:7" x14ac:dyDescent="0.3">
      <c r="A123" t="s">
        <v>15</v>
      </c>
      <c r="B123" t="s">
        <v>10</v>
      </c>
      <c r="C123">
        <v>2</v>
      </c>
      <c r="D123">
        <v>0</v>
      </c>
      <c r="E123">
        <v>1.4300000000000001E-3</v>
      </c>
      <c r="F123">
        <f t="shared" si="2"/>
        <v>1.4300000000000002</v>
      </c>
      <c r="G123">
        <f t="shared" si="3"/>
        <v>-6.5500808347103208</v>
      </c>
    </row>
    <row r="124" spans="1:7" x14ac:dyDescent="0.3">
      <c r="A124" t="s">
        <v>15</v>
      </c>
      <c r="B124" t="s">
        <v>10</v>
      </c>
      <c r="C124">
        <v>3</v>
      </c>
      <c r="D124">
        <v>0</v>
      </c>
      <c r="E124">
        <v>1.453333E-3</v>
      </c>
      <c r="F124">
        <f t="shared" si="2"/>
        <v>1.453333</v>
      </c>
      <c r="G124">
        <f t="shared" si="3"/>
        <v>-6.5338957396471287</v>
      </c>
    </row>
    <row r="125" spans="1:7" x14ac:dyDescent="0.3">
      <c r="A125" t="s">
        <v>15</v>
      </c>
      <c r="B125" t="s">
        <v>10</v>
      </c>
      <c r="C125">
        <v>1</v>
      </c>
      <c r="D125">
        <v>2</v>
      </c>
      <c r="E125">
        <v>1.0800000000000001E-2</v>
      </c>
      <c r="F125">
        <f t="shared" si="2"/>
        <v>10.8</v>
      </c>
      <c r="G125">
        <f t="shared" si="3"/>
        <v>-4.5282091448519628</v>
      </c>
    </row>
    <row r="126" spans="1:7" x14ac:dyDescent="0.3">
      <c r="A126" t="s">
        <v>15</v>
      </c>
      <c r="B126" t="s">
        <v>10</v>
      </c>
      <c r="C126">
        <v>2</v>
      </c>
      <c r="D126">
        <v>2</v>
      </c>
      <c r="E126">
        <v>6.1000000000000004E-3</v>
      </c>
      <c r="F126">
        <f t="shared" si="2"/>
        <v>6.1000000000000005</v>
      </c>
      <c r="G126">
        <f t="shared" si="3"/>
        <v>-5.0994665078028714</v>
      </c>
    </row>
    <row r="127" spans="1:7" x14ac:dyDescent="0.3">
      <c r="A127" t="s">
        <v>15</v>
      </c>
      <c r="B127" t="s">
        <v>10</v>
      </c>
      <c r="C127">
        <v>3</v>
      </c>
      <c r="D127">
        <v>2</v>
      </c>
      <c r="E127">
        <v>6.7999999999999996E-3</v>
      </c>
      <c r="F127">
        <f t="shared" si="2"/>
        <v>6.8</v>
      </c>
      <c r="G127">
        <f t="shared" si="3"/>
        <v>-4.9908326668000758</v>
      </c>
    </row>
    <row r="128" spans="1:7" x14ac:dyDescent="0.3">
      <c r="A128" t="s">
        <v>15</v>
      </c>
      <c r="B128" t="s">
        <v>10</v>
      </c>
      <c r="C128">
        <v>1</v>
      </c>
      <c r="D128">
        <v>4</v>
      </c>
      <c r="E128">
        <v>3.85E-2</v>
      </c>
      <c r="F128">
        <f t="shared" si="2"/>
        <v>38.5</v>
      </c>
      <c r="G128">
        <f t="shared" si="3"/>
        <v>-3.2570970376883985</v>
      </c>
    </row>
    <row r="129" spans="1:7" x14ac:dyDescent="0.3">
      <c r="A129" t="s">
        <v>15</v>
      </c>
      <c r="B129" t="s">
        <v>10</v>
      </c>
      <c r="C129">
        <v>2</v>
      </c>
      <c r="D129">
        <v>4</v>
      </c>
      <c r="E129">
        <v>3.4500000000000003E-2</v>
      </c>
      <c r="F129">
        <f t="shared" si="2"/>
        <v>34.5</v>
      </c>
      <c r="G129">
        <f t="shared" si="3"/>
        <v>-3.366795954944823</v>
      </c>
    </row>
    <row r="130" spans="1:7" x14ac:dyDescent="0.3">
      <c r="A130" t="s">
        <v>15</v>
      </c>
      <c r="B130" t="s">
        <v>10</v>
      </c>
      <c r="C130">
        <v>3</v>
      </c>
      <c r="D130">
        <v>4</v>
      </c>
      <c r="E130">
        <v>3.4299999999999997E-2</v>
      </c>
      <c r="F130">
        <f t="shared" si="2"/>
        <v>34.299999999999997</v>
      </c>
      <c r="G130">
        <f t="shared" si="3"/>
        <v>-3.3726099248102428</v>
      </c>
    </row>
    <row r="131" spans="1:7" x14ac:dyDescent="0.3">
      <c r="A131" t="s">
        <v>15</v>
      </c>
      <c r="B131" t="s">
        <v>10</v>
      </c>
      <c r="C131">
        <v>1</v>
      </c>
      <c r="D131">
        <v>6</v>
      </c>
      <c r="E131">
        <v>0.12959999999999999</v>
      </c>
      <c r="F131">
        <f t="shared" ref="F131:F194" si="4">E131*1000</f>
        <v>129.6</v>
      </c>
      <c r="G131">
        <f t="shared" ref="G131:G194" si="5">LN(E131)</f>
        <v>-2.0433024950639629</v>
      </c>
    </row>
    <row r="132" spans="1:7" x14ac:dyDescent="0.3">
      <c r="A132" t="s">
        <v>15</v>
      </c>
      <c r="B132" t="s">
        <v>10</v>
      </c>
      <c r="C132">
        <v>2</v>
      </c>
      <c r="D132">
        <v>6</v>
      </c>
      <c r="E132">
        <v>0.1085</v>
      </c>
      <c r="F132">
        <f t="shared" si="4"/>
        <v>108.5</v>
      </c>
      <c r="G132">
        <f t="shared" si="5"/>
        <v>-2.2210051060016229</v>
      </c>
    </row>
    <row r="133" spans="1:7" x14ac:dyDescent="0.3">
      <c r="A133" t="s">
        <v>15</v>
      </c>
      <c r="B133" t="s">
        <v>10</v>
      </c>
      <c r="C133">
        <v>3</v>
      </c>
      <c r="D133">
        <v>6</v>
      </c>
      <c r="E133">
        <v>0.1133</v>
      </c>
      <c r="F133">
        <f t="shared" si="4"/>
        <v>113.3</v>
      </c>
      <c r="G133">
        <f t="shared" si="5"/>
        <v>-2.1777161109481766</v>
      </c>
    </row>
    <row r="134" spans="1:7" x14ac:dyDescent="0.3">
      <c r="A134" t="s">
        <v>15</v>
      </c>
      <c r="B134" t="s">
        <v>10</v>
      </c>
      <c r="C134">
        <v>1</v>
      </c>
      <c r="D134">
        <v>8</v>
      </c>
      <c r="E134">
        <v>0.23400000000000001</v>
      </c>
      <c r="F134">
        <f t="shared" si="4"/>
        <v>234</v>
      </c>
      <c r="G134">
        <f t="shared" si="5"/>
        <v>-1.4524341636244356</v>
      </c>
    </row>
    <row r="135" spans="1:7" x14ac:dyDescent="0.3">
      <c r="A135" t="s">
        <v>15</v>
      </c>
      <c r="B135" t="s">
        <v>10</v>
      </c>
      <c r="C135">
        <v>2</v>
      </c>
      <c r="D135">
        <v>8</v>
      </c>
      <c r="E135">
        <v>0.21190000000000001</v>
      </c>
      <c r="F135">
        <f t="shared" si="4"/>
        <v>211.9</v>
      </c>
      <c r="G135">
        <f t="shared" si="5"/>
        <v>-1.5516408137078836</v>
      </c>
    </row>
    <row r="136" spans="1:7" x14ac:dyDescent="0.3">
      <c r="A136" t="s">
        <v>15</v>
      </c>
      <c r="B136" t="s">
        <v>10</v>
      </c>
      <c r="C136">
        <v>3</v>
      </c>
      <c r="D136">
        <v>8</v>
      </c>
      <c r="E136">
        <v>0.215</v>
      </c>
      <c r="F136">
        <f t="shared" si="4"/>
        <v>215</v>
      </c>
      <c r="G136">
        <f t="shared" si="5"/>
        <v>-1.5371172508544744</v>
      </c>
    </row>
    <row r="137" spans="1:7" x14ac:dyDescent="0.3">
      <c r="A137" t="s">
        <v>15</v>
      </c>
      <c r="B137" t="s">
        <v>10</v>
      </c>
      <c r="C137">
        <v>1</v>
      </c>
      <c r="D137">
        <v>10</v>
      </c>
      <c r="E137">
        <v>0.3024</v>
      </c>
      <c r="F137">
        <f t="shared" si="4"/>
        <v>302.39999999999998</v>
      </c>
      <c r="G137">
        <f t="shared" si="5"/>
        <v>-1.1960046346767592</v>
      </c>
    </row>
    <row r="138" spans="1:7" x14ac:dyDescent="0.3">
      <c r="A138" t="s">
        <v>15</v>
      </c>
      <c r="B138" t="s">
        <v>10</v>
      </c>
      <c r="C138">
        <v>2</v>
      </c>
      <c r="D138">
        <v>10</v>
      </c>
      <c r="E138">
        <v>0.31469999999999998</v>
      </c>
      <c r="F138">
        <f t="shared" si="4"/>
        <v>314.7</v>
      </c>
      <c r="G138">
        <f t="shared" si="5"/>
        <v>-1.156135474911776</v>
      </c>
    </row>
    <row r="139" spans="1:7" x14ac:dyDescent="0.3">
      <c r="A139" t="s">
        <v>15</v>
      </c>
      <c r="B139" t="s">
        <v>10</v>
      </c>
      <c r="C139">
        <v>3</v>
      </c>
      <c r="D139">
        <v>10</v>
      </c>
      <c r="E139">
        <v>0.30320000000000003</v>
      </c>
      <c r="F139">
        <f t="shared" si="4"/>
        <v>303.20000000000005</v>
      </c>
      <c r="G139">
        <f t="shared" si="5"/>
        <v>-1.1933626252139204</v>
      </c>
    </row>
    <row r="140" spans="1:7" x14ac:dyDescent="0.3">
      <c r="A140" t="s">
        <v>15</v>
      </c>
      <c r="B140" t="s">
        <v>10</v>
      </c>
      <c r="C140">
        <v>1</v>
      </c>
      <c r="D140">
        <v>12</v>
      </c>
      <c r="E140">
        <v>0.32500000000000001</v>
      </c>
      <c r="F140">
        <f t="shared" si="4"/>
        <v>325</v>
      </c>
      <c r="G140">
        <f t="shared" si="5"/>
        <v>-1.1239300966523995</v>
      </c>
    </row>
    <row r="141" spans="1:7" x14ac:dyDescent="0.3">
      <c r="A141" t="s">
        <v>15</v>
      </c>
      <c r="B141" t="s">
        <v>10</v>
      </c>
      <c r="C141">
        <v>2</v>
      </c>
      <c r="D141">
        <v>12</v>
      </c>
      <c r="E141">
        <v>0.32179999999999997</v>
      </c>
      <c r="F141">
        <f t="shared" si="4"/>
        <v>321.79999999999995</v>
      </c>
      <c r="G141">
        <f t="shared" si="5"/>
        <v>-1.1338250444238542</v>
      </c>
    </row>
    <row r="142" spans="1:7" x14ac:dyDescent="0.3">
      <c r="A142" t="s">
        <v>15</v>
      </c>
      <c r="B142" t="s">
        <v>10</v>
      </c>
      <c r="C142">
        <v>3</v>
      </c>
      <c r="D142">
        <v>12</v>
      </c>
      <c r="E142">
        <v>0.34</v>
      </c>
      <c r="F142">
        <f t="shared" si="4"/>
        <v>340</v>
      </c>
      <c r="G142">
        <f t="shared" si="5"/>
        <v>-1.0788096613719298</v>
      </c>
    </row>
    <row r="143" spans="1:7" x14ac:dyDescent="0.3">
      <c r="A143" t="s">
        <v>15</v>
      </c>
      <c r="B143" t="s">
        <v>10</v>
      </c>
      <c r="C143">
        <v>1</v>
      </c>
      <c r="D143">
        <v>14</v>
      </c>
      <c r="E143">
        <v>0.34350000000000003</v>
      </c>
      <c r="F143">
        <f t="shared" si="4"/>
        <v>343.5</v>
      </c>
      <c r="G143">
        <f t="shared" si="5"/>
        <v>-1.0685681673197329</v>
      </c>
    </row>
    <row r="144" spans="1:7" x14ac:dyDescent="0.3">
      <c r="A144" t="s">
        <v>15</v>
      </c>
      <c r="B144" t="s">
        <v>10</v>
      </c>
      <c r="C144">
        <v>2</v>
      </c>
      <c r="D144">
        <v>14</v>
      </c>
      <c r="E144">
        <v>0.35620000000000002</v>
      </c>
      <c r="F144">
        <f t="shared" si="4"/>
        <v>356.2</v>
      </c>
      <c r="G144">
        <f t="shared" si="5"/>
        <v>-1.0322629081265757</v>
      </c>
    </row>
    <row r="145" spans="1:7" x14ac:dyDescent="0.3">
      <c r="A145" t="s">
        <v>15</v>
      </c>
      <c r="B145" t="s">
        <v>10</v>
      </c>
      <c r="C145">
        <v>3</v>
      </c>
      <c r="D145">
        <v>14</v>
      </c>
      <c r="E145">
        <v>0.33439999999999998</v>
      </c>
      <c r="F145">
        <f t="shared" si="4"/>
        <v>334.4</v>
      </c>
      <c r="G145">
        <f t="shared" si="5"/>
        <v>-1.0954173977715906</v>
      </c>
    </row>
    <row r="146" spans="1:7" x14ac:dyDescent="0.3">
      <c r="A146" t="s">
        <v>16</v>
      </c>
      <c r="B146" t="s">
        <v>10</v>
      </c>
      <c r="C146">
        <v>1</v>
      </c>
      <c r="D146">
        <v>0</v>
      </c>
      <c r="E146">
        <v>1.516667E-3</v>
      </c>
      <c r="F146">
        <f t="shared" si="4"/>
        <v>1.516667</v>
      </c>
      <c r="G146">
        <f t="shared" si="5"/>
        <v>-6.4912401149071917</v>
      </c>
    </row>
    <row r="147" spans="1:7" x14ac:dyDescent="0.3">
      <c r="A147" t="s">
        <v>16</v>
      </c>
      <c r="B147" t="s">
        <v>10</v>
      </c>
      <c r="C147">
        <v>2</v>
      </c>
      <c r="D147">
        <v>0</v>
      </c>
      <c r="E147">
        <v>1.5833329999999999E-3</v>
      </c>
      <c r="F147">
        <f t="shared" si="4"/>
        <v>1.5833329999999999</v>
      </c>
      <c r="G147">
        <f t="shared" si="5"/>
        <v>-6.448223160130035</v>
      </c>
    </row>
    <row r="148" spans="1:7" x14ac:dyDescent="0.3">
      <c r="A148" t="s">
        <v>16</v>
      </c>
      <c r="B148" t="s">
        <v>10</v>
      </c>
      <c r="C148">
        <v>3</v>
      </c>
      <c r="D148">
        <v>0</v>
      </c>
      <c r="E148">
        <v>1.9833329999999999E-3</v>
      </c>
      <c r="F148">
        <f t="shared" si="4"/>
        <v>1.9833329999999998</v>
      </c>
      <c r="G148">
        <f t="shared" si="5"/>
        <v>-6.2229765161599495</v>
      </c>
    </row>
    <row r="149" spans="1:7" x14ac:dyDescent="0.3">
      <c r="A149" t="s">
        <v>16</v>
      </c>
      <c r="B149" t="s">
        <v>10</v>
      </c>
      <c r="C149">
        <v>1</v>
      </c>
      <c r="D149">
        <v>2</v>
      </c>
      <c r="E149">
        <v>1.01E-2</v>
      </c>
      <c r="F149">
        <f t="shared" si="4"/>
        <v>10.1</v>
      </c>
      <c r="G149">
        <f t="shared" si="5"/>
        <v>-4.595219855134923</v>
      </c>
    </row>
    <row r="150" spans="1:7" x14ac:dyDescent="0.3">
      <c r="A150" t="s">
        <v>16</v>
      </c>
      <c r="B150" t="s">
        <v>10</v>
      </c>
      <c r="C150">
        <v>2</v>
      </c>
      <c r="D150">
        <v>2</v>
      </c>
      <c r="E150">
        <v>9.1000000000000004E-3</v>
      </c>
      <c r="F150">
        <f t="shared" si="4"/>
        <v>9.1</v>
      </c>
      <c r="G150">
        <f t="shared" si="5"/>
        <v>-4.699480865459333</v>
      </c>
    </row>
    <row r="151" spans="1:7" x14ac:dyDescent="0.3">
      <c r="A151" t="s">
        <v>16</v>
      </c>
      <c r="B151" t="s">
        <v>10</v>
      </c>
      <c r="C151">
        <v>3</v>
      </c>
      <c r="D151">
        <v>2</v>
      </c>
      <c r="E151">
        <v>1.1299999999999999E-2</v>
      </c>
      <c r="F151">
        <f t="shared" si="4"/>
        <v>11.299999999999999</v>
      </c>
      <c r="G151">
        <f t="shared" si="5"/>
        <v>-4.4829525532638419</v>
      </c>
    </row>
    <row r="152" spans="1:7" x14ac:dyDescent="0.3">
      <c r="A152" t="s">
        <v>16</v>
      </c>
      <c r="B152" t="s">
        <v>10</v>
      </c>
      <c r="C152">
        <v>1</v>
      </c>
      <c r="D152">
        <v>4</v>
      </c>
      <c r="E152">
        <v>6.13E-2</v>
      </c>
      <c r="F152">
        <f t="shared" si="4"/>
        <v>61.3</v>
      </c>
      <c r="G152">
        <f t="shared" si="5"/>
        <v>-2.7919754360399711</v>
      </c>
    </row>
    <row r="153" spans="1:7" x14ac:dyDescent="0.3">
      <c r="A153" t="s">
        <v>16</v>
      </c>
      <c r="B153" t="s">
        <v>10</v>
      </c>
      <c r="C153">
        <v>2</v>
      </c>
      <c r="D153">
        <v>4</v>
      </c>
      <c r="E153">
        <v>5.1499999999999997E-2</v>
      </c>
      <c r="F153">
        <f t="shared" si="4"/>
        <v>51.5</v>
      </c>
      <c r="G153">
        <f t="shared" si="5"/>
        <v>-2.9661734713124468</v>
      </c>
    </row>
    <row r="154" spans="1:7" x14ac:dyDescent="0.3">
      <c r="A154" t="s">
        <v>16</v>
      </c>
      <c r="B154" t="s">
        <v>10</v>
      </c>
      <c r="C154">
        <v>3</v>
      </c>
      <c r="D154">
        <v>4</v>
      </c>
      <c r="E154">
        <v>6.6000000000000003E-2</v>
      </c>
      <c r="F154">
        <f t="shared" si="4"/>
        <v>66</v>
      </c>
      <c r="G154">
        <f t="shared" si="5"/>
        <v>-2.7181005369557116</v>
      </c>
    </row>
    <row r="155" spans="1:7" x14ac:dyDescent="0.3">
      <c r="A155" t="s">
        <v>16</v>
      </c>
      <c r="B155" t="s">
        <v>10</v>
      </c>
      <c r="C155">
        <v>1</v>
      </c>
      <c r="D155">
        <v>6</v>
      </c>
      <c r="E155">
        <v>0.1719</v>
      </c>
      <c r="F155">
        <f t="shared" si="4"/>
        <v>171.9</v>
      </c>
      <c r="G155">
        <f t="shared" si="5"/>
        <v>-1.7608423665933335</v>
      </c>
    </row>
    <row r="156" spans="1:7" x14ac:dyDescent="0.3">
      <c r="A156" t="s">
        <v>16</v>
      </c>
      <c r="B156" t="s">
        <v>10</v>
      </c>
      <c r="C156">
        <v>2</v>
      </c>
      <c r="D156">
        <v>6</v>
      </c>
      <c r="E156">
        <v>0.15759999999999999</v>
      </c>
      <c r="F156">
        <f t="shared" si="4"/>
        <v>157.6</v>
      </c>
      <c r="G156">
        <f t="shared" si="5"/>
        <v>-1.8476951015583583</v>
      </c>
    </row>
    <row r="157" spans="1:7" x14ac:dyDescent="0.3">
      <c r="A157" t="s">
        <v>16</v>
      </c>
      <c r="B157" t="s">
        <v>10</v>
      </c>
      <c r="C157">
        <v>3</v>
      </c>
      <c r="D157">
        <v>6</v>
      </c>
      <c r="E157">
        <v>0.1923</v>
      </c>
      <c r="F157">
        <f t="shared" si="4"/>
        <v>192.3</v>
      </c>
      <c r="G157">
        <f t="shared" si="5"/>
        <v>-1.6486986263874031</v>
      </c>
    </row>
    <row r="158" spans="1:7" x14ac:dyDescent="0.3">
      <c r="A158" t="s">
        <v>16</v>
      </c>
      <c r="B158" t="s">
        <v>10</v>
      </c>
      <c r="C158">
        <v>1</v>
      </c>
      <c r="D158">
        <v>8</v>
      </c>
      <c r="E158">
        <v>0.27329999999999999</v>
      </c>
      <c r="F158">
        <f t="shared" si="4"/>
        <v>273.3</v>
      </c>
      <c r="G158">
        <f t="shared" si="5"/>
        <v>-1.2971851860481147</v>
      </c>
    </row>
    <row r="159" spans="1:7" x14ac:dyDescent="0.3">
      <c r="A159" t="s">
        <v>16</v>
      </c>
      <c r="B159" t="s">
        <v>10</v>
      </c>
      <c r="C159">
        <v>2</v>
      </c>
      <c r="D159">
        <v>8</v>
      </c>
      <c r="E159">
        <v>0.2432</v>
      </c>
      <c r="F159">
        <f t="shared" si="4"/>
        <v>243.2</v>
      </c>
      <c r="G159">
        <f t="shared" si="5"/>
        <v>-1.4138711288901251</v>
      </c>
    </row>
    <row r="160" spans="1:7" x14ac:dyDescent="0.3">
      <c r="A160" t="s">
        <v>16</v>
      </c>
      <c r="B160" t="s">
        <v>10</v>
      </c>
      <c r="C160">
        <v>3</v>
      </c>
      <c r="D160">
        <v>8</v>
      </c>
      <c r="E160">
        <v>0.26350000000000001</v>
      </c>
      <c r="F160">
        <f t="shared" si="4"/>
        <v>263.5</v>
      </c>
      <c r="G160">
        <f t="shared" si="5"/>
        <v>-1.33370191100072</v>
      </c>
    </row>
    <row r="161" spans="1:7" x14ac:dyDescent="0.3">
      <c r="A161" t="s">
        <v>16</v>
      </c>
      <c r="B161" t="s">
        <v>10</v>
      </c>
      <c r="C161">
        <v>1</v>
      </c>
      <c r="D161">
        <v>10</v>
      </c>
      <c r="E161">
        <v>0.30590000000000001</v>
      </c>
      <c r="F161">
        <f t="shared" si="4"/>
        <v>305.89999999999998</v>
      </c>
      <c r="G161">
        <f t="shared" si="5"/>
        <v>-1.1844970278252793</v>
      </c>
    </row>
    <row r="162" spans="1:7" x14ac:dyDescent="0.3">
      <c r="A162" t="s">
        <v>16</v>
      </c>
      <c r="B162" t="s">
        <v>10</v>
      </c>
      <c r="C162">
        <v>2</v>
      </c>
      <c r="D162">
        <v>10</v>
      </c>
      <c r="E162">
        <v>0.30780000000000002</v>
      </c>
      <c r="F162">
        <f t="shared" si="4"/>
        <v>307.8</v>
      </c>
      <c r="G162">
        <f t="shared" si="5"/>
        <v>-1.1783050575773582</v>
      </c>
    </row>
    <row r="163" spans="1:7" x14ac:dyDescent="0.3">
      <c r="A163" t="s">
        <v>16</v>
      </c>
      <c r="B163" t="s">
        <v>10</v>
      </c>
      <c r="C163">
        <v>3</v>
      </c>
      <c r="D163">
        <v>10</v>
      </c>
      <c r="E163">
        <v>0.27450000000000002</v>
      </c>
      <c r="F163">
        <f t="shared" si="4"/>
        <v>274.5</v>
      </c>
      <c r="G163">
        <f t="shared" si="5"/>
        <v>-1.2928040180325517</v>
      </c>
    </row>
    <row r="164" spans="1:7" x14ac:dyDescent="0.3">
      <c r="A164" t="s">
        <v>16</v>
      </c>
      <c r="B164" t="s">
        <v>10</v>
      </c>
      <c r="C164">
        <v>1</v>
      </c>
      <c r="D164">
        <v>12</v>
      </c>
      <c r="E164">
        <v>0.33400000000000002</v>
      </c>
      <c r="F164">
        <f t="shared" si="4"/>
        <v>334</v>
      </c>
      <c r="G164">
        <f t="shared" si="5"/>
        <v>-1.0966142860054366</v>
      </c>
    </row>
    <row r="165" spans="1:7" x14ac:dyDescent="0.3">
      <c r="A165" t="s">
        <v>16</v>
      </c>
      <c r="B165" t="s">
        <v>10</v>
      </c>
      <c r="C165">
        <v>2</v>
      </c>
      <c r="D165">
        <v>12</v>
      </c>
      <c r="E165">
        <v>0.31740000000000002</v>
      </c>
      <c r="F165">
        <f t="shared" si="4"/>
        <v>317.40000000000003</v>
      </c>
      <c r="G165">
        <f t="shared" si="5"/>
        <v>-1.1475924708898284</v>
      </c>
    </row>
    <row r="166" spans="1:7" x14ac:dyDescent="0.3">
      <c r="A166" t="s">
        <v>16</v>
      </c>
      <c r="B166" t="s">
        <v>10</v>
      </c>
      <c r="C166">
        <v>3</v>
      </c>
      <c r="D166">
        <v>12</v>
      </c>
      <c r="E166">
        <v>0.32240000000000002</v>
      </c>
      <c r="F166">
        <f t="shared" si="4"/>
        <v>322.40000000000003</v>
      </c>
      <c r="G166">
        <f t="shared" si="5"/>
        <v>-1.1319622683496637</v>
      </c>
    </row>
    <row r="167" spans="1:7" x14ac:dyDescent="0.3">
      <c r="A167" t="s">
        <v>17</v>
      </c>
      <c r="B167" t="s">
        <v>10</v>
      </c>
      <c r="C167">
        <v>1</v>
      </c>
      <c r="D167">
        <v>0</v>
      </c>
      <c r="E167">
        <v>2.3900000000000002E-3</v>
      </c>
      <c r="F167">
        <f t="shared" si="4"/>
        <v>2.39</v>
      </c>
      <c r="G167">
        <f t="shared" si="5"/>
        <v>-6.0364619130387176</v>
      </c>
    </row>
    <row r="168" spans="1:7" x14ac:dyDescent="0.3">
      <c r="A168" t="s">
        <v>17</v>
      </c>
      <c r="B168" t="s">
        <v>10</v>
      </c>
      <c r="C168">
        <v>2</v>
      </c>
      <c r="D168">
        <v>0</v>
      </c>
      <c r="E168">
        <v>2.0799999999999998E-3</v>
      </c>
      <c r="F168">
        <f t="shared" si="4"/>
        <v>2.0799999999999996</v>
      </c>
      <c r="G168">
        <f t="shared" si="5"/>
        <v>-6.1753873852689107</v>
      </c>
    </row>
    <row r="169" spans="1:7" x14ac:dyDescent="0.3">
      <c r="A169" t="s">
        <v>17</v>
      </c>
      <c r="B169" t="s">
        <v>10</v>
      </c>
      <c r="C169">
        <v>3</v>
      </c>
      <c r="D169">
        <v>0</v>
      </c>
      <c r="E169">
        <v>2.0766669999999999E-3</v>
      </c>
      <c r="F169">
        <f t="shared" si="4"/>
        <v>2.076667</v>
      </c>
      <c r="G169">
        <f t="shared" si="5"/>
        <v>-6.1769910743372538</v>
      </c>
    </row>
    <row r="170" spans="1:7" x14ac:dyDescent="0.3">
      <c r="A170" t="s">
        <v>17</v>
      </c>
      <c r="B170" t="s">
        <v>10</v>
      </c>
      <c r="C170">
        <v>1</v>
      </c>
      <c r="D170">
        <v>2</v>
      </c>
      <c r="E170">
        <v>1.38E-2</v>
      </c>
      <c r="F170">
        <f t="shared" si="4"/>
        <v>13.799999999999999</v>
      </c>
      <c r="G170">
        <f t="shared" si="5"/>
        <v>-4.2830866868189776</v>
      </c>
    </row>
    <row r="171" spans="1:7" x14ac:dyDescent="0.3">
      <c r="A171" t="s">
        <v>17</v>
      </c>
      <c r="B171" t="s">
        <v>10</v>
      </c>
      <c r="C171">
        <v>2</v>
      </c>
      <c r="D171">
        <v>2</v>
      </c>
      <c r="E171">
        <v>1.15E-2</v>
      </c>
      <c r="F171">
        <f t="shared" si="4"/>
        <v>11.5</v>
      </c>
      <c r="G171">
        <f t="shared" si="5"/>
        <v>-4.4654082436129325</v>
      </c>
    </row>
    <row r="172" spans="1:7" x14ac:dyDescent="0.3">
      <c r="A172" t="s">
        <v>17</v>
      </c>
      <c r="B172" t="s">
        <v>10</v>
      </c>
      <c r="C172">
        <v>3</v>
      </c>
      <c r="D172">
        <v>2</v>
      </c>
      <c r="E172">
        <v>1.1900000000000001E-2</v>
      </c>
      <c r="F172">
        <f t="shared" si="4"/>
        <v>11.9</v>
      </c>
      <c r="G172">
        <f t="shared" si="5"/>
        <v>-4.4312168788646531</v>
      </c>
    </row>
    <row r="173" spans="1:7" x14ac:dyDescent="0.3">
      <c r="A173" t="s">
        <v>17</v>
      </c>
      <c r="B173" t="s">
        <v>10</v>
      </c>
      <c r="C173">
        <v>1</v>
      </c>
      <c r="D173">
        <v>4</v>
      </c>
      <c r="E173">
        <v>6.4600000000000005E-2</v>
      </c>
      <c r="F173">
        <f t="shared" si="4"/>
        <v>64.600000000000009</v>
      </c>
      <c r="G173">
        <f t="shared" si="5"/>
        <v>-2.7395408681935809</v>
      </c>
    </row>
    <row r="174" spans="1:7" x14ac:dyDescent="0.3">
      <c r="A174" t="s">
        <v>17</v>
      </c>
      <c r="B174" t="s">
        <v>10</v>
      </c>
      <c r="C174">
        <v>2</v>
      </c>
      <c r="D174">
        <v>4</v>
      </c>
      <c r="E174">
        <v>5.8400000000000001E-2</v>
      </c>
      <c r="F174">
        <f t="shared" si="4"/>
        <v>58.4</v>
      </c>
      <c r="G174">
        <f t="shared" si="5"/>
        <v>-2.8404393891479556</v>
      </c>
    </row>
    <row r="175" spans="1:7" x14ac:dyDescent="0.3">
      <c r="A175" t="s">
        <v>17</v>
      </c>
      <c r="B175" t="s">
        <v>10</v>
      </c>
      <c r="C175">
        <v>3</v>
      </c>
      <c r="D175">
        <v>4</v>
      </c>
      <c r="E175">
        <v>6.0999999999999999E-2</v>
      </c>
      <c r="F175">
        <f t="shared" si="4"/>
        <v>61</v>
      </c>
      <c r="G175">
        <f t="shared" si="5"/>
        <v>-2.7968814148088259</v>
      </c>
    </row>
    <row r="176" spans="1:7" x14ac:dyDescent="0.3">
      <c r="A176" t="s">
        <v>17</v>
      </c>
      <c r="B176" t="s">
        <v>10</v>
      </c>
      <c r="C176">
        <v>1</v>
      </c>
      <c r="D176">
        <v>6</v>
      </c>
      <c r="E176">
        <v>0.12809999999999999</v>
      </c>
      <c r="F176">
        <f t="shared" si="4"/>
        <v>128.1</v>
      </c>
      <c r="G176">
        <f t="shared" si="5"/>
        <v>-2.0549440700794483</v>
      </c>
    </row>
    <row r="177" spans="1:7" x14ac:dyDescent="0.3">
      <c r="A177" t="s">
        <v>17</v>
      </c>
      <c r="B177" t="s">
        <v>10</v>
      </c>
      <c r="C177">
        <v>2</v>
      </c>
      <c r="D177">
        <v>6</v>
      </c>
      <c r="E177">
        <v>0.13800000000000001</v>
      </c>
      <c r="F177">
        <f t="shared" si="4"/>
        <v>138</v>
      </c>
      <c r="G177">
        <f t="shared" si="5"/>
        <v>-1.9805015938249322</v>
      </c>
    </row>
    <row r="178" spans="1:7" x14ac:dyDescent="0.3">
      <c r="A178" t="s">
        <v>17</v>
      </c>
      <c r="B178" t="s">
        <v>10</v>
      </c>
      <c r="C178">
        <v>3</v>
      </c>
      <c r="D178">
        <v>6</v>
      </c>
      <c r="E178">
        <v>0.153</v>
      </c>
      <c r="F178">
        <f t="shared" si="4"/>
        <v>153</v>
      </c>
      <c r="G178">
        <f t="shared" si="5"/>
        <v>-1.8773173575897015</v>
      </c>
    </row>
    <row r="179" spans="1:7" x14ac:dyDescent="0.3">
      <c r="A179" t="s">
        <v>17</v>
      </c>
      <c r="B179" t="s">
        <v>10</v>
      </c>
      <c r="C179">
        <v>1</v>
      </c>
      <c r="D179">
        <v>8</v>
      </c>
      <c r="E179">
        <v>0.23569999999999999</v>
      </c>
      <c r="F179">
        <f t="shared" si="4"/>
        <v>235.7</v>
      </c>
      <c r="G179">
        <f t="shared" si="5"/>
        <v>-1.4451954690400517</v>
      </c>
    </row>
    <row r="180" spans="1:7" x14ac:dyDescent="0.3">
      <c r="A180" t="s">
        <v>17</v>
      </c>
      <c r="B180" t="s">
        <v>10</v>
      </c>
      <c r="C180">
        <v>2</v>
      </c>
      <c r="D180">
        <v>8</v>
      </c>
      <c r="E180">
        <v>0.25090000000000001</v>
      </c>
      <c r="F180">
        <f t="shared" si="4"/>
        <v>250.9</v>
      </c>
      <c r="G180">
        <f t="shared" si="5"/>
        <v>-1.3827008256097604</v>
      </c>
    </row>
    <row r="181" spans="1:7" x14ac:dyDescent="0.3">
      <c r="A181" t="s">
        <v>17</v>
      </c>
      <c r="B181" t="s">
        <v>10</v>
      </c>
      <c r="C181">
        <v>3</v>
      </c>
      <c r="D181">
        <v>8</v>
      </c>
      <c r="E181">
        <v>0.2359</v>
      </c>
      <c r="F181">
        <f t="shared" si="4"/>
        <v>235.9</v>
      </c>
      <c r="G181">
        <f t="shared" si="5"/>
        <v>-1.4443472925685077</v>
      </c>
    </row>
    <row r="182" spans="1:7" x14ac:dyDescent="0.3">
      <c r="A182" t="s">
        <v>17</v>
      </c>
      <c r="B182" t="s">
        <v>10</v>
      </c>
      <c r="C182">
        <v>1</v>
      </c>
      <c r="D182">
        <v>10</v>
      </c>
      <c r="E182">
        <v>0.30030000000000001</v>
      </c>
      <c r="F182">
        <f t="shared" si="4"/>
        <v>300.3</v>
      </c>
      <c r="G182">
        <f t="shared" si="5"/>
        <v>-1.2029733039928525</v>
      </c>
    </row>
    <row r="183" spans="1:7" x14ac:dyDescent="0.3">
      <c r="A183" t="s">
        <v>17</v>
      </c>
      <c r="B183" t="s">
        <v>10</v>
      </c>
      <c r="C183">
        <v>2</v>
      </c>
      <c r="D183">
        <v>10</v>
      </c>
      <c r="E183">
        <v>0.27750000000000002</v>
      </c>
      <c r="F183">
        <f t="shared" si="4"/>
        <v>277.5</v>
      </c>
      <c r="G183">
        <f t="shared" si="5"/>
        <v>-1.2819343457956478</v>
      </c>
    </row>
    <row r="184" spans="1:7" x14ac:dyDescent="0.3">
      <c r="A184" t="s">
        <v>17</v>
      </c>
      <c r="B184" t="s">
        <v>10</v>
      </c>
      <c r="C184">
        <v>3</v>
      </c>
      <c r="D184">
        <v>10</v>
      </c>
      <c r="E184">
        <v>0.2823</v>
      </c>
      <c r="F184">
        <f t="shared" si="4"/>
        <v>282.3</v>
      </c>
      <c r="G184">
        <f t="shared" si="5"/>
        <v>-1.2647849437226935</v>
      </c>
    </row>
    <row r="185" spans="1:7" x14ac:dyDescent="0.3">
      <c r="A185" t="s">
        <v>17</v>
      </c>
      <c r="B185" t="s">
        <v>10</v>
      </c>
      <c r="C185">
        <v>1</v>
      </c>
      <c r="D185">
        <v>12</v>
      </c>
      <c r="E185">
        <v>0.3039</v>
      </c>
      <c r="F185">
        <f t="shared" si="4"/>
        <v>303.89999999999998</v>
      </c>
      <c r="G185">
        <f t="shared" si="5"/>
        <v>-1.1910565790593897</v>
      </c>
    </row>
    <row r="186" spans="1:7" x14ac:dyDescent="0.3">
      <c r="A186" t="s">
        <v>17</v>
      </c>
      <c r="B186" t="s">
        <v>10</v>
      </c>
      <c r="C186">
        <v>2</v>
      </c>
      <c r="D186">
        <v>12</v>
      </c>
      <c r="E186">
        <v>0.30380000000000001</v>
      </c>
      <c r="F186">
        <f t="shared" si="4"/>
        <v>303.8</v>
      </c>
      <c r="G186">
        <f t="shared" si="5"/>
        <v>-1.1913856888204646</v>
      </c>
    </row>
    <row r="187" spans="1:7" x14ac:dyDescent="0.3">
      <c r="A187" t="s">
        <v>17</v>
      </c>
      <c r="B187" t="s">
        <v>10</v>
      </c>
      <c r="C187">
        <v>3</v>
      </c>
      <c r="D187">
        <v>12</v>
      </c>
      <c r="E187">
        <v>0.29859999999999998</v>
      </c>
      <c r="F187">
        <f t="shared" si="4"/>
        <v>298.59999999999997</v>
      </c>
      <c r="G187">
        <f t="shared" si="5"/>
        <v>-1.2086503938770472</v>
      </c>
    </row>
    <row r="188" spans="1:7" x14ac:dyDescent="0.3">
      <c r="A188" t="s">
        <v>9</v>
      </c>
      <c r="B188" t="s">
        <v>18</v>
      </c>
      <c r="C188">
        <v>1</v>
      </c>
      <c r="D188">
        <v>0</v>
      </c>
      <c r="E188">
        <v>9.0333299999999998E-4</v>
      </c>
      <c r="F188">
        <f t="shared" si="4"/>
        <v>0.90333299999999994</v>
      </c>
      <c r="G188">
        <f t="shared" si="5"/>
        <v>-7.0094193017623949</v>
      </c>
    </row>
    <row r="189" spans="1:7" x14ac:dyDescent="0.3">
      <c r="A189" t="s">
        <v>9</v>
      </c>
      <c r="B189" t="s">
        <v>18</v>
      </c>
      <c r="C189">
        <v>2</v>
      </c>
      <c r="D189">
        <v>0</v>
      </c>
      <c r="E189">
        <v>9.5666700000000002E-4</v>
      </c>
      <c r="F189">
        <f t="shared" si="4"/>
        <v>0.95666700000000005</v>
      </c>
      <c r="G189">
        <f t="shared" si="5"/>
        <v>-6.952055189446722</v>
      </c>
    </row>
    <row r="190" spans="1:7" x14ac:dyDescent="0.3">
      <c r="A190" t="s">
        <v>9</v>
      </c>
      <c r="B190" t="s">
        <v>18</v>
      </c>
      <c r="C190">
        <v>3</v>
      </c>
      <c r="D190">
        <v>0</v>
      </c>
      <c r="E190">
        <v>8.8666700000000005E-4</v>
      </c>
      <c r="F190">
        <f t="shared" si="4"/>
        <v>0.88666700000000009</v>
      </c>
      <c r="G190">
        <f t="shared" si="5"/>
        <v>-7.0280410689168598</v>
      </c>
    </row>
    <row r="191" spans="1:7" x14ac:dyDescent="0.3">
      <c r="A191" t="s">
        <v>11</v>
      </c>
      <c r="B191" t="s">
        <v>18</v>
      </c>
      <c r="C191">
        <v>1</v>
      </c>
      <c r="D191">
        <v>0</v>
      </c>
      <c r="E191">
        <v>9.06667E-4</v>
      </c>
      <c r="F191">
        <f t="shared" si="4"/>
        <v>0.906667</v>
      </c>
      <c r="G191">
        <f t="shared" si="5"/>
        <v>-7.0057353196953498</v>
      </c>
    </row>
    <row r="192" spans="1:7" x14ac:dyDescent="0.3">
      <c r="A192" t="s">
        <v>11</v>
      </c>
      <c r="B192" t="s">
        <v>18</v>
      </c>
      <c r="C192">
        <v>2</v>
      </c>
      <c r="D192">
        <v>0</v>
      </c>
      <c r="E192">
        <v>8.0999999999999996E-4</v>
      </c>
      <c r="F192">
        <f t="shared" si="4"/>
        <v>0.80999999999999994</v>
      </c>
      <c r="G192">
        <f t="shared" si="5"/>
        <v>-7.1184763102977895</v>
      </c>
    </row>
    <row r="193" spans="1:7" x14ac:dyDescent="0.3">
      <c r="A193" t="s">
        <v>11</v>
      </c>
      <c r="B193" t="s">
        <v>18</v>
      </c>
      <c r="C193">
        <v>3</v>
      </c>
      <c r="D193">
        <v>0</v>
      </c>
      <c r="E193">
        <v>8.4666699999999995E-4</v>
      </c>
      <c r="F193">
        <f t="shared" si="4"/>
        <v>0.84666699999999995</v>
      </c>
      <c r="G193">
        <f t="shared" si="5"/>
        <v>-7.0742030929190918</v>
      </c>
    </row>
    <row r="194" spans="1:7" x14ac:dyDescent="0.3">
      <c r="A194" t="s">
        <v>13</v>
      </c>
      <c r="B194" t="s">
        <v>18</v>
      </c>
      <c r="C194">
        <v>1</v>
      </c>
      <c r="D194">
        <v>0</v>
      </c>
      <c r="E194">
        <v>1.3366669999999999E-3</v>
      </c>
      <c r="F194">
        <f t="shared" si="4"/>
        <v>1.3366669999999998</v>
      </c>
      <c r="G194">
        <f t="shared" si="5"/>
        <v>-6.6175760769552419</v>
      </c>
    </row>
    <row r="195" spans="1:7" x14ac:dyDescent="0.3">
      <c r="A195" t="s">
        <v>13</v>
      </c>
      <c r="B195" t="s">
        <v>18</v>
      </c>
      <c r="C195">
        <v>2</v>
      </c>
      <c r="D195">
        <v>0</v>
      </c>
      <c r="E195">
        <v>1.183333E-3</v>
      </c>
      <c r="F195">
        <f t="shared" ref="F195:F258" si="6">E195*1000</f>
        <v>1.183333</v>
      </c>
      <c r="G195">
        <f t="shared" ref="G195:G258" si="7">LN(E195)</f>
        <v>-6.7394202458531032</v>
      </c>
    </row>
    <row r="196" spans="1:7" x14ac:dyDescent="0.3">
      <c r="A196" t="s">
        <v>13</v>
      </c>
      <c r="B196" t="s">
        <v>18</v>
      </c>
      <c r="C196">
        <v>3</v>
      </c>
      <c r="D196">
        <v>0</v>
      </c>
      <c r="E196">
        <v>1.0066669999999999E-3</v>
      </c>
      <c r="F196">
        <f t="shared" si="6"/>
        <v>1.006667</v>
      </c>
      <c r="G196">
        <f t="shared" si="7"/>
        <v>-6.9011104051376959</v>
      </c>
    </row>
    <row r="197" spans="1:7" x14ac:dyDescent="0.3">
      <c r="A197" t="s">
        <v>15</v>
      </c>
      <c r="B197" t="s">
        <v>18</v>
      </c>
      <c r="C197">
        <v>1</v>
      </c>
      <c r="D197">
        <v>0</v>
      </c>
      <c r="E197">
        <v>2.8033329999999999E-3</v>
      </c>
      <c r="F197">
        <f t="shared" si="6"/>
        <v>2.8033329999999999</v>
      </c>
      <c r="G197">
        <f t="shared" si="7"/>
        <v>-5.8769462125714611</v>
      </c>
    </row>
    <row r="198" spans="1:7" x14ac:dyDescent="0.3">
      <c r="A198" t="s">
        <v>15</v>
      </c>
      <c r="B198" t="s">
        <v>18</v>
      </c>
      <c r="C198">
        <v>2</v>
      </c>
      <c r="D198">
        <v>0</v>
      </c>
      <c r="E198">
        <v>1.273333E-3</v>
      </c>
      <c r="F198">
        <f t="shared" si="6"/>
        <v>1.273333</v>
      </c>
      <c r="G198">
        <f t="shared" si="7"/>
        <v>-6.6661174068119022</v>
      </c>
    </row>
    <row r="199" spans="1:7" x14ac:dyDescent="0.3">
      <c r="A199" t="s">
        <v>15</v>
      </c>
      <c r="B199" t="s">
        <v>18</v>
      </c>
      <c r="C199">
        <v>3</v>
      </c>
      <c r="D199">
        <v>0</v>
      </c>
      <c r="E199">
        <v>1.3799999999999999E-3</v>
      </c>
      <c r="F199">
        <f t="shared" si="6"/>
        <v>1.38</v>
      </c>
      <c r="G199">
        <f t="shared" si="7"/>
        <v>-6.5856717798130235</v>
      </c>
    </row>
    <row r="200" spans="1:7" x14ac:dyDescent="0.3">
      <c r="A200" t="s">
        <v>12</v>
      </c>
      <c r="B200" t="s">
        <v>18</v>
      </c>
      <c r="C200">
        <v>1</v>
      </c>
      <c r="D200">
        <v>0</v>
      </c>
      <c r="E200">
        <v>1.0133329999999999E-3</v>
      </c>
      <c r="F200">
        <f t="shared" si="6"/>
        <v>1.013333</v>
      </c>
      <c r="G200">
        <f t="shared" si="7"/>
        <v>-6.894510381179539</v>
      </c>
    </row>
    <row r="201" spans="1:7" x14ac:dyDescent="0.3">
      <c r="A201" t="s">
        <v>12</v>
      </c>
      <c r="B201" t="s">
        <v>18</v>
      </c>
      <c r="C201">
        <v>2</v>
      </c>
      <c r="D201">
        <v>0</v>
      </c>
      <c r="E201">
        <v>1.4833330000000001E-3</v>
      </c>
      <c r="F201">
        <f t="shared" si="6"/>
        <v>1.483333</v>
      </c>
      <c r="G201">
        <f t="shared" si="7"/>
        <v>-6.5134636961912245</v>
      </c>
    </row>
    <row r="202" spans="1:7" x14ac:dyDescent="0.3">
      <c r="A202" t="s">
        <v>12</v>
      </c>
      <c r="B202" t="s">
        <v>18</v>
      </c>
      <c r="C202">
        <v>3</v>
      </c>
      <c r="D202">
        <v>0</v>
      </c>
      <c r="E202">
        <v>1.5566670000000001E-3</v>
      </c>
      <c r="F202">
        <f t="shared" si="6"/>
        <v>1.556667</v>
      </c>
      <c r="G202">
        <f t="shared" si="7"/>
        <v>-6.4652082818367012</v>
      </c>
    </row>
    <row r="203" spans="1:7" x14ac:dyDescent="0.3">
      <c r="A203" t="s">
        <v>14</v>
      </c>
      <c r="B203" t="s">
        <v>18</v>
      </c>
      <c r="C203">
        <v>1</v>
      </c>
      <c r="D203">
        <v>0</v>
      </c>
      <c r="E203">
        <v>9.2333300000000003E-4</v>
      </c>
      <c r="F203">
        <f t="shared" si="6"/>
        <v>0.92333300000000007</v>
      </c>
      <c r="G203">
        <f t="shared" si="7"/>
        <v>-6.987520608461895</v>
      </c>
    </row>
    <row r="204" spans="1:7" x14ac:dyDescent="0.3">
      <c r="A204" t="s">
        <v>14</v>
      </c>
      <c r="B204" t="s">
        <v>18</v>
      </c>
      <c r="C204">
        <v>2</v>
      </c>
      <c r="D204">
        <v>0</v>
      </c>
      <c r="E204">
        <v>1.373333E-3</v>
      </c>
      <c r="F204">
        <f t="shared" si="6"/>
        <v>1.3733329999999999</v>
      </c>
      <c r="G204">
        <f t="shared" si="7"/>
        <v>-6.5905146470072875</v>
      </c>
    </row>
    <row r="205" spans="1:7" x14ac:dyDescent="0.3">
      <c r="A205" t="s">
        <v>14</v>
      </c>
      <c r="B205" t="s">
        <v>18</v>
      </c>
      <c r="C205">
        <v>3</v>
      </c>
      <c r="D205">
        <v>0</v>
      </c>
      <c r="E205">
        <v>1.016667E-3</v>
      </c>
      <c r="F205">
        <f t="shared" si="6"/>
        <v>1.016667</v>
      </c>
      <c r="G205">
        <f t="shared" si="7"/>
        <v>-6.891225649162128</v>
      </c>
    </row>
    <row r="206" spans="1:7" x14ac:dyDescent="0.3">
      <c r="A206" t="s">
        <v>16</v>
      </c>
      <c r="B206" t="s">
        <v>18</v>
      </c>
      <c r="C206">
        <v>1</v>
      </c>
      <c r="D206">
        <v>0</v>
      </c>
      <c r="E206">
        <v>2.7166669999999999E-3</v>
      </c>
      <c r="F206">
        <f t="shared" si="6"/>
        <v>2.7166669999999997</v>
      </c>
      <c r="G206">
        <f t="shared" si="7"/>
        <v>-5.9083495176980962</v>
      </c>
    </row>
    <row r="207" spans="1:7" x14ac:dyDescent="0.3">
      <c r="A207" t="s">
        <v>16</v>
      </c>
      <c r="B207" t="s">
        <v>18</v>
      </c>
      <c r="C207">
        <v>2</v>
      </c>
      <c r="D207">
        <v>0</v>
      </c>
      <c r="E207">
        <v>2.5166670000000002E-3</v>
      </c>
      <c r="F207">
        <f t="shared" si="6"/>
        <v>2.516667</v>
      </c>
      <c r="G207">
        <f t="shared" si="7"/>
        <v>-5.9848198719389911</v>
      </c>
    </row>
    <row r="208" spans="1:7" x14ac:dyDescent="0.3">
      <c r="A208" t="s">
        <v>16</v>
      </c>
      <c r="B208" t="s">
        <v>18</v>
      </c>
      <c r="C208">
        <v>3</v>
      </c>
      <c r="D208">
        <v>0</v>
      </c>
      <c r="E208">
        <v>2.4733329999999999E-3</v>
      </c>
      <c r="F208">
        <f t="shared" si="6"/>
        <v>2.4733329999999998</v>
      </c>
      <c r="G208">
        <f t="shared" si="7"/>
        <v>-6.0021886452418567</v>
      </c>
    </row>
    <row r="209" spans="1:7" x14ac:dyDescent="0.3">
      <c r="A209" t="s">
        <v>17</v>
      </c>
      <c r="B209" t="s">
        <v>18</v>
      </c>
      <c r="C209">
        <v>1</v>
      </c>
      <c r="D209">
        <v>0</v>
      </c>
      <c r="E209">
        <v>3.0666669999999999E-3</v>
      </c>
      <c r="F209">
        <f t="shared" si="6"/>
        <v>3.0666669999999998</v>
      </c>
      <c r="G209">
        <f t="shared" si="7"/>
        <v>-5.787163974899606</v>
      </c>
    </row>
    <row r="210" spans="1:7" x14ac:dyDescent="0.3">
      <c r="A210" t="s">
        <v>17</v>
      </c>
      <c r="B210" t="s">
        <v>18</v>
      </c>
      <c r="C210">
        <v>2</v>
      </c>
      <c r="D210">
        <v>0</v>
      </c>
      <c r="E210">
        <v>3.0200000000000001E-3</v>
      </c>
      <c r="F210">
        <f t="shared" si="6"/>
        <v>3.02</v>
      </c>
      <c r="G210">
        <f t="shared" si="7"/>
        <v>-5.8024984475953589</v>
      </c>
    </row>
    <row r="211" spans="1:7" x14ac:dyDescent="0.3">
      <c r="A211" t="s">
        <v>17</v>
      </c>
      <c r="B211" t="s">
        <v>18</v>
      </c>
      <c r="C211">
        <v>3</v>
      </c>
      <c r="D211">
        <v>0</v>
      </c>
      <c r="E211">
        <v>2.9733329999999999E-3</v>
      </c>
      <c r="F211">
        <f t="shared" si="6"/>
        <v>2.9733329999999998</v>
      </c>
      <c r="G211">
        <f t="shared" si="7"/>
        <v>-5.8180717331659579</v>
      </c>
    </row>
    <row r="212" spans="1:7" x14ac:dyDescent="0.3">
      <c r="A212" t="s">
        <v>9</v>
      </c>
      <c r="B212" t="s">
        <v>18</v>
      </c>
      <c r="C212">
        <v>1</v>
      </c>
      <c r="D212">
        <v>2</v>
      </c>
      <c r="E212">
        <v>8.0569999999999999E-3</v>
      </c>
      <c r="F212">
        <f t="shared" si="6"/>
        <v>8.0570000000000004</v>
      </c>
      <c r="G212">
        <f t="shared" si="7"/>
        <v>-4.8212140001870782</v>
      </c>
    </row>
    <row r="213" spans="1:7" x14ac:dyDescent="0.3">
      <c r="A213" t="s">
        <v>9</v>
      </c>
      <c r="B213" t="s">
        <v>18</v>
      </c>
      <c r="C213">
        <v>2</v>
      </c>
      <c r="D213">
        <v>2</v>
      </c>
      <c r="E213">
        <v>6.1980000000000004E-3</v>
      </c>
      <c r="F213">
        <f t="shared" si="6"/>
        <v>6.1980000000000004</v>
      </c>
      <c r="G213">
        <f t="shared" si="7"/>
        <v>-5.0835286196165805</v>
      </c>
    </row>
    <row r="214" spans="1:7" x14ac:dyDescent="0.3">
      <c r="A214" t="s">
        <v>9</v>
      </c>
      <c r="B214" t="s">
        <v>18</v>
      </c>
      <c r="C214">
        <v>3</v>
      </c>
      <c r="D214">
        <v>2</v>
      </c>
      <c r="E214">
        <v>5.9630000000000004E-3</v>
      </c>
      <c r="F214">
        <f t="shared" si="6"/>
        <v>5.9630000000000001</v>
      </c>
      <c r="G214">
        <f t="shared" si="7"/>
        <v>-5.1221815688411683</v>
      </c>
    </row>
    <row r="215" spans="1:7" x14ac:dyDescent="0.3">
      <c r="A215" t="s">
        <v>11</v>
      </c>
      <c r="B215" t="s">
        <v>18</v>
      </c>
      <c r="C215">
        <v>1</v>
      </c>
      <c r="D215">
        <v>2</v>
      </c>
      <c r="E215">
        <v>3.6640000000000002E-3</v>
      </c>
      <c r="F215">
        <f t="shared" si="6"/>
        <v>3.6640000000000001</v>
      </c>
      <c r="G215">
        <f t="shared" si="7"/>
        <v>-5.609199832170253</v>
      </c>
    </row>
    <row r="216" spans="1:7" x14ac:dyDescent="0.3">
      <c r="A216" t="s">
        <v>11</v>
      </c>
      <c r="B216" t="s">
        <v>18</v>
      </c>
      <c r="C216">
        <v>2</v>
      </c>
      <c r="D216">
        <v>2</v>
      </c>
      <c r="E216">
        <v>4.8469999999999997E-3</v>
      </c>
      <c r="F216">
        <f t="shared" si="6"/>
        <v>4.8469999999999995</v>
      </c>
      <c r="G216">
        <f t="shared" si="7"/>
        <v>-5.3293953221188985</v>
      </c>
    </row>
    <row r="217" spans="1:7" x14ac:dyDescent="0.3">
      <c r="A217" t="s">
        <v>11</v>
      </c>
      <c r="B217" t="s">
        <v>18</v>
      </c>
      <c r="C217">
        <v>3</v>
      </c>
      <c r="D217">
        <v>2</v>
      </c>
      <c r="E217">
        <v>5.4910000000000002E-3</v>
      </c>
      <c r="F217">
        <f t="shared" si="6"/>
        <v>5.4910000000000005</v>
      </c>
      <c r="G217">
        <f t="shared" si="7"/>
        <v>-5.204644890685401</v>
      </c>
    </row>
    <row r="218" spans="1:7" x14ac:dyDescent="0.3">
      <c r="A218" t="s">
        <v>13</v>
      </c>
      <c r="B218" t="s">
        <v>18</v>
      </c>
      <c r="C218">
        <v>1</v>
      </c>
      <c r="D218">
        <v>2</v>
      </c>
      <c r="E218">
        <v>3.8830000000000002E-3</v>
      </c>
      <c r="F218">
        <f t="shared" si="6"/>
        <v>3.883</v>
      </c>
      <c r="G218">
        <f t="shared" si="7"/>
        <v>-5.5511472282326064</v>
      </c>
    </row>
    <row r="219" spans="1:7" x14ac:dyDescent="0.3">
      <c r="A219" t="s">
        <v>13</v>
      </c>
      <c r="B219" t="s">
        <v>18</v>
      </c>
      <c r="C219">
        <v>2</v>
      </c>
      <c r="D219">
        <v>2</v>
      </c>
      <c r="E219">
        <v>5.653E-3</v>
      </c>
      <c r="F219">
        <f t="shared" si="6"/>
        <v>5.6530000000000005</v>
      </c>
      <c r="G219">
        <f t="shared" si="7"/>
        <v>-5.1755689012889832</v>
      </c>
    </row>
    <row r="220" spans="1:7" x14ac:dyDescent="0.3">
      <c r="A220" t="s">
        <v>13</v>
      </c>
      <c r="B220" t="s">
        <v>18</v>
      </c>
      <c r="C220">
        <v>3</v>
      </c>
      <c r="D220">
        <v>2</v>
      </c>
      <c r="E220">
        <v>6.2550000000000001E-3</v>
      </c>
      <c r="F220">
        <f t="shared" si="6"/>
        <v>6.2549999999999999</v>
      </c>
      <c r="G220">
        <f t="shared" si="7"/>
        <v>-5.0743741350632625</v>
      </c>
    </row>
    <row r="221" spans="1:7" x14ac:dyDescent="0.3">
      <c r="A221" t="s">
        <v>15</v>
      </c>
      <c r="B221" t="s">
        <v>18</v>
      </c>
      <c r="C221">
        <v>1</v>
      </c>
      <c r="D221">
        <v>2</v>
      </c>
      <c r="E221">
        <v>1.29E-2</v>
      </c>
      <c r="F221">
        <f t="shared" si="6"/>
        <v>12.9</v>
      </c>
      <c r="G221">
        <f t="shared" si="7"/>
        <v>-4.3505279676145108</v>
      </c>
    </row>
    <row r="222" spans="1:7" x14ac:dyDescent="0.3">
      <c r="A222" t="s">
        <v>15</v>
      </c>
      <c r="B222" t="s">
        <v>18</v>
      </c>
      <c r="C222">
        <v>2</v>
      </c>
      <c r="D222">
        <v>2</v>
      </c>
      <c r="E222">
        <v>1.4914999999999999E-2</v>
      </c>
      <c r="F222">
        <f t="shared" si="6"/>
        <v>14.914999999999999</v>
      </c>
      <c r="G222">
        <f t="shared" si="7"/>
        <v>-4.2053878610154252</v>
      </c>
    </row>
    <row r="223" spans="1:7" x14ac:dyDescent="0.3">
      <c r="A223" t="s">
        <v>15</v>
      </c>
      <c r="B223" t="s">
        <v>18</v>
      </c>
      <c r="C223">
        <v>3</v>
      </c>
      <c r="D223">
        <v>2</v>
      </c>
      <c r="E223">
        <v>1.3047E-2</v>
      </c>
      <c r="F223">
        <f t="shared" si="6"/>
        <v>13.046999999999999</v>
      </c>
      <c r="G223">
        <f t="shared" si="7"/>
        <v>-4.3391970566985263</v>
      </c>
    </row>
    <row r="224" spans="1:7" x14ac:dyDescent="0.3">
      <c r="A224" t="s">
        <v>12</v>
      </c>
      <c r="B224" t="s">
        <v>18</v>
      </c>
      <c r="C224">
        <v>1</v>
      </c>
      <c r="D224">
        <v>2</v>
      </c>
      <c r="E224">
        <v>6.6519999999999999E-3</v>
      </c>
      <c r="F224">
        <f t="shared" si="6"/>
        <v>6.6520000000000001</v>
      </c>
      <c r="G224">
        <f t="shared" si="7"/>
        <v>-5.0128377176514558</v>
      </c>
    </row>
    <row r="225" spans="1:7" x14ac:dyDescent="0.3">
      <c r="A225" t="s">
        <v>12</v>
      </c>
      <c r="B225" t="s">
        <v>18</v>
      </c>
      <c r="C225">
        <v>2</v>
      </c>
      <c r="D225">
        <v>2</v>
      </c>
      <c r="E225">
        <v>1.1802E-2</v>
      </c>
      <c r="F225">
        <f t="shared" si="6"/>
        <v>11.802</v>
      </c>
      <c r="G225">
        <f t="shared" si="7"/>
        <v>-4.4394862703471603</v>
      </c>
    </row>
    <row r="226" spans="1:7" x14ac:dyDescent="0.3">
      <c r="A226" t="s">
        <v>12</v>
      </c>
      <c r="B226" t="s">
        <v>18</v>
      </c>
      <c r="C226">
        <v>3</v>
      </c>
      <c r="D226">
        <v>2</v>
      </c>
      <c r="E226">
        <v>7.9380000000000006E-3</v>
      </c>
      <c r="F226">
        <f t="shared" si="6"/>
        <v>7.9380000000000006</v>
      </c>
      <c r="G226">
        <f t="shared" si="7"/>
        <v>-4.8360939246212631</v>
      </c>
    </row>
    <row r="227" spans="1:7" x14ac:dyDescent="0.3">
      <c r="A227" t="s">
        <v>14</v>
      </c>
      <c r="B227" t="s">
        <v>18</v>
      </c>
      <c r="C227">
        <v>1</v>
      </c>
      <c r="D227">
        <v>2</v>
      </c>
      <c r="E227">
        <v>5.3220000000000003E-3</v>
      </c>
      <c r="F227">
        <f t="shared" si="6"/>
        <v>5.3220000000000001</v>
      </c>
      <c r="G227">
        <f t="shared" si="7"/>
        <v>-5.2359061064266399</v>
      </c>
    </row>
    <row r="228" spans="1:7" x14ac:dyDescent="0.3">
      <c r="A228" t="s">
        <v>14</v>
      </c>
      <c r="B228" t="s">
        <v>18</v>
      </c>
      <c r="C228">
        <v>2</v>
      </c>
      <c r="D228">
        <v>2</v>
      </c>
      <c r="E228">
        <v>8.6379999999999998E-3</v>
      </c>
      <c r="F228">
        <f t="shared" si="6"/>
        <v>8.6379999999999999</v>
      </c>
      <c r="G228">
        <f t="shared" si="7"/>
        <v>-4.7515842044436276</v>
      </c>
    </row>
    <row r="229" spans="1:7" x14ac:dyDescent="0.3">
      <c r="A229" t="s">
        <v>14</v>
      </c>
      <c r="B229" t="s">
        <v>18</v>
      </c>
      <c r="C229">
        <v>3</v>
      </c>
      <c r="D229">
        <v>2</v>
      </c>
      <c r="E229">
        <v>5.2370000000000003E-3</v>
      </c>
      <c r="F229">
        <f t="shared" si="6"/>
        <v>5.2370000000000001</v>
      </c>
      <c r="G229">
        <f t="shared" si="7"/>
        <v>-5.2520064636847863</v>
      </c>
    </row>
    <row r="230" spans="1:7" x14ac:dyDescent="0.3">
      <c r="A230" t="s">
        <v>16</v>
      </c>
      <c r="B230" t="s">
        <v>18</v>
      </c>
      <c r="C230">
        <v>1</v>
      </c>
      <c r="D230">
        <v>2</v>
      </c>
      <c r="E230">
        <v>1.3976000000000001E-2</v>
      </c>
      <c r="F230">
        <f t="shared" si="6"/>
        <v>13.976000000000001</v>
      </c>
      <c r="G230">
        <f t="shared" si="7"/>
        <v>-4.2704137061503813</v>
      </c>
    </row>
    <row r="231" spans="1:7" x14ac:dyDescent="0.3">
      <c r="A231" t="s">
        <v>16</v>
      </c>
      <c r="B231" t="s">
        <v>18</v>
      </c>
      <c r="C231">
        <v>2</v>
      </c>
      <c r="D231">
        <v>2</v>
      </c>
      <c r="E231">
        <v>1.7884000000000001E-2</v>
      </c>
      <c r="F231">
        <f t="shared" si="6"/>
        <v>17.884</v>
      </c>
      <c r="G231">
        <f t="shared" si="7"/>
        <v>-4.0238488206104028</v>
      </c>
    </row>
    <row r="232" spans="1:7" x14ac:dyDescent="0.3">
      <c r="A232" t="s">
        <v>16</v>
      </c>
      <c r="B232" t="s">
        <v>18</v>
      </c>
      <c r="C232">
        <v>3</v>
      </c>
      <c r="D232">
        <v>2</v>
      </c>
      <c r="E232">
        <v>1.4841E-2</v>
      </c>
      <c r="F232">
        <f t="shared" si="6"/>
        <v>14.840999999999999</v>
      </c>
      <c r="G232">
        <f t="shared" si="7"/>
        <v>-4.2103616580684555</v>
      </c>
    </row>
    <row r="233" spans="1:7" x14ac:dyDescent="0.3">
      <c r="A233" t="s">
        <v>17</v>
      </c>
      <c r="B233" t="s">
        <v>18</v>
      </c>
      <c r="C233">
        <v>1</v>
      </c>
      <c r="D233">
        <v>2</v>
      </c>
      <c r="E233">
        <v>1.9914999999999999E-2</v>
      </c>
      <c r="F233">
        <f t="shared" si="6"/>
        <v>19.914999999999999</v>
      </c>
      <c r="G233">
        <f t="shared" si="7"/>
        <v>-3.9162820623485297</v>
      </c>
    </row>
    <row r="234" spans="1:7" x14ac:dyDescent="0.3">
      <c r="A234" t="s">
        <v>17</v>
      </c>
      <c r="B234" t="s">
        <v>18</v>
      </c>
      <c r="C234">
        <v>2</v>
      </c>
      <c r="D234">
        <v>2</v>
      </c>
      <c r="E234">
        <v>2.1968999999999999E-2</v>
      </c>
      <c r="F234">
        <f t="shared" si="6"/>
        <v>21.968999999999998</v>
      </c>
      <c r="G234">
        <f t="shared" si="7"/>
        <v>-3.8181229102350946</v>
      </c>
    </row>
    <row r="235" spans="1:7" x14ac:dyDescent="0.3">
      <c r="A235" t="s">
        <v>17</v>
      </c>
      <c r="B235" t="s">
        <v>18</v>
      </c>
      <c r="C235">
        <v>3</v>
      </c>
      <c r="D235">
        <v>2</v>
      </c>
      <c r="E235">
        <v>1.4742999999999999E-2</v>
      </c>
      <c r="F235">
        <f t="shared" si="6"/>
        <v>14.742999999999999</v>
      </c>
      <c r="G235">
        <f t="shared" si="7"/>
        <v>-4.2169868851144541</v>
      </c>
    </row>
    <row r="236" spans="1:7" x14ac:dyDescent="0.3">
      <c r="A236" t="s">
        <v>9</v>
      </c>
      <c r="B236" t="s">
        <v>18</v>
      </c>
      <c r="C236">
        <v>1</v>
      </c>
      <c r="D236">
        <v>4</v>
      </c>
      <c r="E236">
        <v>6.5362000000000003E-2</v>
      </c>
      <c r="F236">
        <f t="shared" si="6"/>
        <v>65.362000000000009</v>
      </c>
      <c r="G236">
        <f t="shared" si="7"/>
        <v>-2.7278142291433505</v>
      </c>
    </row>
    <row r="237" spans="1:7" x14ac:dyDescent="0.3">
      <c r="A237" t="s">
        <v>9</v>
      </c>
      <c r="B237" t="s">
        <v>18</v>
      </c>
      <c r="C237">
        <v>2</v>
      </c>
      <c r="D237">
        <v>4</v>
      </c>
      <c r="E237">
        <v>5.2935999999999997E-2</v>
      </c>
      <c r="F237">
        <f t="shared" si="6"/>
        <v>52.936</v>
      </c>
      <c r="G237">
        <f t="shared" si="7"/>
        <v>-2.9386716422723786</v>
      </c>
    </row>
    <row r="238" spans="1:7" x14ac:dyDescent="0.3">
      <c r="A238" t="s">
        <v>9</v>
      </c>
      <c r="B238" t="s">
        <v>18</v>
      </c>
      <c r="C238">
        <v>3</v>
      </c>
      <c r="D238">
        <v>4</v>
      </c>
      <c r="E238">
        <v>5.8153000000000003E-2</v>
      </c>
      <c r="F238">
        <f t="shared" si="6"/>
        <v>58.153000000000006</v>
      </c>
      <c r="G238">
        <f t="shared" si="7"/>
        <v>-2.8446778106345469</v>
      </c>
    </row>
    <row r="239" spans="1:7" x14ac:dyDescent="0.3">
      <c r="A239" t="s">
        <v>11</v>
      </c>
      <c r="B239" t="s">
        <v>18</v>
      </c>
      <c r="C239">
        <v>1</v>
      </c>
      <c r="D239">
        <v>4</v>
      </c>
      <c r="E239">
        <v>4.4169E-2</v>
      </c>
      <c r="F239">
        <f t="shared" si="6"/>
        <v>44.168999999999997</v>
      </c>
      <c r="G239">
        <f t="shared" si="7"/>
        <v>-3.119732093430756</v>
      </c>
    </row>
    <row r="240" spans="1:7" x14ac:dyDescent="0.3">
      <c r="A240" t="s">
        <v>11</v>
      </c>
      <c r="B240" t="s">
        <v>18</v>
      </c>
      <c r="C240">
        <v>2</v>
      </c>
      <c r="D240">
        <v>4</v>
      </c>
      <c r="E240">
        <v>4.9743000000000002E-2</v>
      </c>
      <c r="F240">
        <f t="shared" si="6"/>
        <v>49.743000000000002</v>
      </c>
      <c r="G240">
        <f t="shared" si="7"/>
        <v>-3.0008855287947918</v>
      </c>
    </row>
    <row r="241" spans="1:7" x14ac:dyDescent="0.3">
      <c r="A241" t="s">
        <v>11</v>
      </c>
      <c r="B241" t="s">
        <v>18</v>
      </c>
      <c r="C241">
        <v>3</v>
      </c>
      <c r="D241">
        <v>4</v>
      </c>
      <c r="E241">
        <v>3.9822000000000003E-2</v>
      </c>
      <c r="F241">
        <f t="shared" si="6"/>
        <v>39.822000000000003</v>
      </c>
      <c r="G241">
        <f t="shared" si="7"/>
        <v>-3.2233357555902939</v>
      </c>
    </row>
    <row r="242" spans="1:7" x14ac:dyDescent="0.3">
      <c r="A242" t="s">
        <v>13</v>
      </c>
      <c r="B242" t="s">
        <v>18</v>
      </c>
      <c r="C242">
        <v>1</v>
      </c>
      <c r="D242">
        <v>4</v>
      </c>
      <c r="E242">
        <v>5.7609E-2</v>
      </c>
      <c r="F242">
        <f t="shared" si="6"/>
        <v>57.609000000000002</v>
      </c>
      <c r="G242">
        <f t="shared" si="7"/>
        <v>-2.8540764734860513</v>
      </c>
    </row>
    <row r="243" spans="1:7" x14ac:dyDescent="0.3">
      <c r="A243" t="s">
        <v>13</v>
      </c>
      <c r="B243" t="s">
        <v>18</v>
      </c>
      <c r="C243">
        <v>2</v>
      </c>
      <c r="D243">
        <v>4</v>
      </c>
      <c r="E243">
        <v>5.3503000000000002E-2</v>
      </c>
      <c r="F243">
        <f t="shared" si="6"/>
        <v>53.503</v>
      </c>
      <c r="G243">
        <f t="shared" si="7"/>
        <v>-2.9280175518859521</v>
      </c>
    </row>
    <row r="244" spans="1:7" x14ac:dyDescent="0.3">
      <c r="A244" t="s">
        <v>13</v>
      </c>
      <c r="B244" t="s">
        <v>18</v>
      </c>
      <c r="C244">
        <v>3</v>
      </c>
      <c r="D244">
        <v>4</v>
      </c>
      <c r="E244">
        <v>6.0186999999999997E-2</v>
      </c>
      <c r="F244">
        <f t="shared" si="6"/>
        <v>60.186999999999998</v>
      </c>
      <c r="G244">
        <f t="shared" si="7"/>
        <v>-2.8102988968310925</v>
      </c>
    </row>
    <row r="245" spans="1:7" x14ac:dyDescent="0.3">
      <c r="A245" t="s">
        <v>15</v>
      </c>
      <c r="B245" t="s">
        <v>18</v>
      </c>
      <c r="C245">
        <v>1</v>
      </c>
      <c r="D245">
        <v>4</v>
      </c>
      <c r="E245">
        <v>0.107334</v>
      </c>
      <c r="F245">
        <f t="shared" si="6"/>
        <v>107.334</v>
      </c>
      <c r="G245">
        <f t="shared" si="7"/>
        <v>-2.2318098109450033</v>
      </c>
    </row>
    <row r="246" spans="1:7" x14ac:dyDescent="0.3">
      <c r="A246" t="s">
        <v>15</v>
      </c>
      <c r="B246" t="s">
        <v>18</v>
      </c>
      <c r="C246">
        <v>2</v>
      </c>
      <c r="D246">
        <v>4</v>
      </c>
      <c r="E246">
        <v>7.4234999999999995E-2</v>
      </c>
      <c r="F246">
        <f t="shared" si="6"/>
        <v>74.234999999999999</v>
      </c>
      <c r="G246">
        <f t="shared" si="7"/>
        <v>-2.6005195419101779</v>
      </c>
    </row>
    <row r="247" spans="1:7" x14ac:dyDescent="0.3">
      <c r="A247" t="s">
        <v>15</v>
      </c>
      <c r="B247" t="s">
        <v>18</v>
      </c>
      <c r="C247">
        <v>3</v>
      </c>
      <c r="D247">
        <v>4</v>
      </c>
      <c r="E247">
        <v>9.1625999999999999E-2</v>
      </c>
      <c r="F247">
        <f t="shared" si="6"/>
        <v>91.626000000000005</v>
      </c>
      <c r="G247">
        <f t="shared" si="7"/>
        <v>-2.3900402047830376</v>
      </c>
    </row>
    <row r="248" spans="1:7" x14ac:dyDescent="0.3">
      <c r="A248" t="s">
        <v>12</v>
      </c>
      <c r="B248" t="s">
        <v>18</v>
      </c>
      <c r="C248">
        <v>1</v>
      </c>
      <c r="D248">
        <v>4</v>
      </c>
      <c r="E248">
        <v>4.5796000000000003E-2</v>
      </c>
      <c r="F248">
        <f t="shared" si="6"/>
        <v>45.796000000000006</v>
      </c>
      <c r="G248">
        <f t="shared" si="7"/>
        <v>-3.0835585279205713</v>
      </c>
    </row>
    <row r="249" spans="1:7" x14ac:dyDescent="0.3">
      <c r="A249" t="s">
        <v>12</v>
      </c>
      <c r="B249" t="s">
        <v>18</v>
      </c>
      <c r="C249">
        <v>2</v>
      </c>
      <c r="D249">
        <v>4</v>
      </c>
      <c r="E249">
        <v>3.8589999999999999E-2</v>
      </c>
      <c r="F249">
        <f t="shared" si="6"/>
        <v>38.589999999999996</v>
      </c>
      <c r="G249">
        <f t="shared" si="7"/>
        <v>-3.2547621034326095</v>
      </c>
    </row>
    <row r="250" spans="1:7" x14ac:dyDescent="0.3">
      <c r="A250" t="s">
        <v>12</v>
      </c>
      <c r="B250" t="s">
        <v>18</v>
      </c>
      <c r="C250">
        <v>3</v>
      </c>
      <c r="D250">
        <v>4</v>
      </c>
      <c r="E250">
        <v>5.5351999999999998E-2</v>
      </c>
      <c r="F250">
        <f t="shared" si="6"/>
        <v>55.351999999999997</v>
      </c>
      <c r="G250">
        <f t="shared" si="7"/>
        <v>-2.8940424867856271</v>
      </c>
    </row>
    <row r="251" spans="1:7" x14ac:dyDescent="0.3">
      <c r="A251" t="s">
        <v>14</v>
      </c>
      <c r="B251" t="s">
        <v>18</v>
      </c>
      <c r="C251">
        <v>1</v>
      </c>
      <c r="D251">
        <v>4</v>
      </c>
      <c r="E251">
        <v>5.2393000000000002E-2</v>
      </c>
      <c r="F251">
        <f t="shared" si="6"/>
        <v>52.393000000000001</v>
      </c>
      <c r="G251">
        <f t="shared" si="7"/>
        <v>-2.9489822843650431</v>
      </c>
    </row>
    <row r="252" spans="1:7" x14ac:dyDescent="0.3">
      <c r="A252" t="s">
        <v>14</v>
      </c>
      <c r="B252" t="s">
        <v>18</v>
      </c>
      <c r="C252">
        <v>2</v>
      </c>
      <c r="D252">
        <v>4</v>
      </c>
      <c r="E252">
        <v>5.2252E-2</v>
      </c>
      <c r="F252">
        <f t="shared" si="6"/>
        <v>52.252000000000002</v>
      </c>
      <c r="G252">
        <f t="shared" si="7"/>
        <v>-2.9516771113578204</v>
      </c>
    </row>
    <row r="253" spans="1:7" x14ac:dyDescent="0.3">
      <c r="A253" t="s">
        <v>14</v>
      </c>
      <c r="B253" t="s">
        <v>18</v>
      </c>
      <c r="C253">
        <v>3</v>
      </c>
      <c r="D253">
        <v>4</v>
      </c>
      <c r="E253">
        <v>3.5846999999999997E-2</v>
      </c>
      <c r="F253">
        <f t="shared" si="6"/>
        <v>35.846999999999994</v>
      </c>
      <c r="G253">
        <f t="shared" si="7"/>
        <v>-3.3284953974464107</v>
      </c>
    </row>
    <row r="254" spans="1:7" x14ac:dyDescent="0.3">
      <c r="A254" t="s">
        <v>16</v>
      </c>
      <c r="B254" t="s">
        <v>18</v>
      </c>
      <c r="C254">
        <v>1</v>
      </c>
      <c r="D254">
        <v>4</v>
      </c>
      <c r="E254">
        <v>7.5578000000000006E-2</v>
      </c>
      <c r="F254">
        <f t="shared" si="6"/>
        <v>75.578000000000003</v>
      </c>
      <c r="G254">
        <f t="shared" si="7"/>
        <v>-2.5825900434379108</v>
      </c>
    </row>
    <row r="255" spans="1:7" x14ac:dyDescent="0.3">
      <c r="A255" t="s">
        <v>16</v>
      </c>
      <c r="B255" t="s">
        <v>18</v>
      </c>
      <c r="C255">
        <v>2</v>
      </c>
      <c r="D255">
        <v>4</v>
      </c>
      <c r="E255">
        <v>6.1487E-2</v>
      </c>
      <c r="F255">
        <f t="shared" si="6"/>
        <v>61.487000000000002</v>
      </c>
      <c r="G255">
        <f t="shared" si="7"/>
        <v>-2.7889295086278341</v>
      </c>
    </row>
    <row r="256" spans="1:7" x14ac:dyDescent="0.3">
      <c r="A256" t="s">
        <v>16</v>
      </c>
      <c r="B256" t="s">
        <v>18</v>
      </c>
      <c r="C256">
        <v>3</v>
      </c>
      <c r="D256">
        <v>4</v>
      </c>
      <c r="E256">
        <v>5.4786000000000001E-2</v>
      </c>
      <c r="F256">
        <f t="shared" si="6"/>
        <v>54.786000000000001</v>
      </c>
      <c r="G256">
        <f t="shared" si="7"/>
        <v>-2.9043205921198791</v>
      </c>
    </row>
    <row r="257" spans="1:7" x14ac:dyDescent="0.3">
      <c r="A257" t="s">
        <v>17</v>
      </c>
      <c r="B257" t="s">
        <v>18</v>
      </c>
      <c r="C257">
        <v>1</v>
      </c>
      <c r="D257">
        <v>4</v>
      </c>
      <c r="E257">
        <v>7.5798000000000004E-2</v>
      </c>
      <c r="F257">
        <f t="shared" si="6"/>
        <v>75.798000000000002</v>
      </c>
      <c r="G257">
        <f t="shared" si="7"/>
        <v>-2.5796833719061816</v>
      </c>
    </row>
    <row r="258" spans="1:7" x14ac:dyDescent="0.3">
      <c r="A258" t="s">
        <v>17</v>
      </c>
      <c r="B258" t="s">
        <v>18</v>
      </c>
      <c r="C258">
        <v>2</v>
      </c>
      <c r="D258">
        <v>4</v>
      </c>
      <c r="E258">
        <v>8.6146E-2</v>
      </c>
      <c r="F258">
        <f t="shared" si="6"/>
        <v>86.146000000000001</v>
      </c>
      <c r="G258">
        <f t="shared" si="7"/>
        <v>-2.4517117477303594</v>
      </c>
    </row>
    <row r="259" spans="1:7" x14ac:dyDescent="0.3">
      <c r="A259" t="s">
        <v>17</v>
      </c>
      <c r="B259" t="s">
        <v>18</v>
      </c>
      <c r="C259">
        <v>3</v>
      </c>
      <c r="D259">
        <v>4</v>
      </c>
      <c r="E259">
        <v>6.3686999999999994E-2</v>
      </c>
      <c r="F259">
        <f t="shared" ref="F259:F322" si="8">E259*1000</f>
        <v>63.686999999999991</v>
      </c>
      <c r="G259">
        <f t="shared" ref="G259:G322" si="9">LN(E259)</f>
        <v>-2.7537748188641626</v>
      </c>
    </row>
    <row r="260" spans="1:7" x14ac:dyDescent="0.3">
      <c r="A260" t="s">
        <v>9</v>
      </c>
      <c r="B260" t="s">
        <v>18</v>
      </c>
      <c r="C260">
        <v>1</v>
      </c>
      <c r="D260">
        <v>6</v>
      </c>
      <c r="E260">
        <v>0.15378</v>
      </c>
      <c r="F260">
        <f t="shared" si="8"/>
        <v>153.78</v>
      </c>
      <c r="G260">
        <f t="shared" si="9"/>
        <v>-1.8722322693781024</v>
      </c>
    </row>
    <row r="261" spans="1:7" x14ac:dyDescent="0.3">
      <c r="A261" t="s">
        <v>9</v>
      </c>
      <c r="B261" t="s">
        <v>18</v>
      </c>
      <c r="C261">
        <v>2</v>
      </c>
      <c r="D261">
        <v>6</v>
      </c>
      <c r="E261">
        <v>0.174763</v>
      </c>
      <c r="F261">
        <f t="shared" si="8"/>
        <v>174.76300000000001</v>
      </c>
      <c r="G261">
        <f t="shared" si="9"/>
        <v>-1.744324508646609</v>
      </c>
    </row>
    <row r="262" spans="1:7" x14ac:dyDescent="0.3">
      <c r="A262" t="s">
        <v>9</v>
      </c>
      <c r="B262" t="s">
        <v>18</v>
      </c>
      <c r="C262">
        <v>3</v>
      </c>
      <c r="D262">
        <v>6</v>
      </c>
      <c r="E262">
        <v>0.178006</v>
      </c>
      <c r="F262">
        <f t="shared" si="8"/>
        <v>178.006</v>
      </c>
      <c r="G262">
        <f t="shared" si="9"/>
        <v>-1.7259380213929807</v>
      </c>
    </row>
    <row r="263" spans="1:7" x14ac:dyDescent="0.3">
      <c r="A263" t="s">
        <v>11</v>
      </c>
      <c r="B263" t="s">
        <v>18</v>
      </c>
      <c r="C263">
        <v>1</v>
      </c>
      <c r="D263">
        <v>6</v>
      </c>
      <c r="E263">
        <v>0.143538</v>
      </c>
      <c r="F263">
        <f t="shared" si="8"/>
        <v>143.53800000000001</v>
      </c>
      <c r="G263">
        <f t="shared" si="9"/>
        <v>-1.9411554704756377</v>
      </c>
    </row>
    <row r="264" spans="1:7" x14ac:dyDescent="0.3">
      <c r="A264" t="s">
        <v>11</v>
      </c>
      <c r="B264" t="s">
        <v>18</v>
      </c>
      <c r="C264">
        <v>2</v>
      </c>
      <c r="D264">
        <v>6</v>
      </c>
      <c r="E264">
        <v>0.14291300000000001</v>
      </c>
      <c r="F264">
        <f t="shared" si="8"/>
        <v>142.91300000000001</v>
      </c>
      <c r="G264">
        <f t="shared" si="9"/>
        <v>-1.9455192254758935</v>
      </c>
    </row>
    <row r="265" spans="1:7" x14ac:dyDescent="0.3">
      <c r="A265" t="s">
        <v>11</v>
      </c>
      <c r="B265" t="s">
        <v>18</v>
      </c>
      <c r="C265">
        <v>3</v>
      </c>
      <c r="D265">
        <v>6</v>
      </c>
      <c r="E265">
        <v>0.132299</v>
      </c>
      <c r="F265">
        <f t="shared" si="8"/>
        <v>132.29900000000001</v>
      </c>
      <c r="G265">
        <f t="shared" si="9"/>
        <v>-2.0226907664687803</v>
      </c>
    </row>
    <row r="266" spans="1:7" x14ac:dyDescent="0.3">
      <c r="A266" t="s">
        <v>13</v>
      </c>
      <c r="B266" t="s">
        <v>18</v>
      </c>
      <c r="C266">
        <v>1</v>
      </c>
      <c r="D266">
        <v>6</v>
      </c>
      <c r="E266">
        <v>0.179341</v>
      </c>
      <c r="F266">
        <f t="shared" si="8"/>
        <v>179.34100000000001</v>
      </c>
      <c r="G266">
        <f t="shared" si="9"/>
        <v>-1.7184662574728893</v>
      </c>
    </row>
    <row r="267" spans="1:7" x14ac:dyDescent="0.3">
      <c r="A267" t="s">
        <v>13</v>
      </c>
      <c r="B267" t="s">
        <v>18</v>
      </c>
      <c r="C267">
        <v>2</v>
      </c>
      <c r="D267">
        <v>6</v>
      </c>
      <c r="E267">
        <v>0.15455099999999999</v>
      </c>
      <c r="F267">
        <f t="shared" si="8"/>
        <v>154.55099999999999</v>
      </c>
      <c r="G267">
        <f t="shared" si="9"/>
        <v>-1.8672311400270152</v>
      </c>
    </row>
    <row r="268" spans="1:7" x14ac:dyDescent="0.3">
      <c r="A268" t="s">
        <v>13</v>
      </c>
      <c r="B268" t="s">
        <v>18</v>
      </c>
      <c r="C268">
        <v>3</v>
      </c>
      <c r="D268">
        <v>6</v>
      </c>
      <c r="E268">
        <v>0.156032</v>
      </c>
      <c r="F268">
        <f t="shared" si="8"/>
        <v>156.03200000000001</v>
      </c>
      <c r="G268">
        <f t="shared" si="9"/>
        <v>-1.8576941645633853</v>
      </c>
    </row>
    <row r="269" spans="1:7" x14ac:dyDescent="0.3">
      <c r="A269" t="s">
        <v>15</v>
      </c>
      <c r="B269" t="s">
        <v>18</v>
      </c>
      <c r="C269">
        <v>1</v>
      </c>
      <c r="D269">
        <v>6</v>
      </c>
      <c r="E269">
        <v>0.24943399999999999</v>
      </c>
      <c r="F269">
        <f t="shared" si="8"/>
        <v>249.434</v>
      </c>
      <c r="G269">
        <f t="shared" si="9"/>
        <v>-1.3885609278426627</v>
      </c>
    </row>
    <row r="270" spans="1:7" x14ac:dyDescent="0.3">
      <c r="A270" t="s">
        <v>15</v>
      </c>
      <c r="B270" t="s">
        <v>18</v>
      </c>
      <c r="C270">
        <v>2</v>
      </c>
      <c r="D270">
        <v>6</v>
      </c>
      <c r="E270">
        <v>0.17947099999999999</v>
      </c>
      <c r="F270">
        <f t="shared" si="8"/>
        <v>179.471</v>
      </c>
      <c r="G270">
        <f t="shared" si="9"/>
        <v>-1.7177416439945876</v>
      </c>
    </row>
    <row r="271" spans="1:7" x14ac:dyDescent="0.3">
      <c r="A271" t="s">
        <v>15</v>
      </c>
      <c r="B271" t="s">
        <v>18</v>
      </c>
      <c r="C271">
        <v>3</v>
      </c>
      <c r="D271">
        <v>6</v>
      </c>
      <c r="E271">
        <v>0.20626700000000001</v>
      </c>
      <c r="F271">
        <f t="shared" si="8"/>
        <v>206.267</v>
      </c>
      <c r="G271">
        <f t="shared" si="9"/>
        <v>-1.5785838329216137</v>
      </c>
    </row>
    <row r="272" spans="1:7" x14ac:dyDescent="0.3">
      <c r="A272" t="s">
        <v>12</v>
      </c>
      <c r="B272" t="s">
        <v>18</v>
      </c>
      <c r="C272">
        <v>1</v>
      </c>
      <c r="D272">
        <v>6</v>
      </c>
      <c r="E272">
        <v>0.15048400000000001</v>
      </c>
      <c r="F272">
        <f t="shared" si="8"/>
        <v>150.48400000000001</v>
      </c>
      <c r="G272">
        <f t="shared" si="9"/>
        <v>-1.8938985127371177</v>
      </c>
    </row>
    <row r="273" spans="1:7" x14ac:dyDescent="0.3">
      <c r="A273" t="s">
        <v>12</v>
      </c>
      <c r="B273" t="s">
        <v>18</v>
      </c>
      <c r="C273">
        <v>2</v>
      </c>
      <c r="D273">
        <v>6</v>
      </c>
      <c r="E273">
        <v>0.13276299999999999</v>
      </c>
      <c r="F273">
        <f t="shared" si="8"/>
        <v>132.76300000000001</v>
      </c>
      <c r="G273">
        <f t="shared" si="9"/>
        <v>-2.0191896952178539</v>
      </c>
    </row>
    <row r="274" spans="1:7" x14ac:dyDescent="0.3">
      <c r="A274" t="s">
        <v>12</v>
      </c>
      <c r="B274" t="s">
        <v>18</v>
      </c>
      <c r="C274">
        <v>3</v>
      </c>
      <c r="D274">
        <v>6</v>
      </c>
      <c r="E274">
        <v>0.16078500000000001</v>
      </c>
      <c r="F274">
        <f t="shared" si="8"/>
        <v>160.78500000000003</v>
      </c>
      <c r="G274">
        <f t="shared" si="9"/>
        <v>-1.8276872101705446</v>
      </c>
    </row>
    <row r="275" spans="1:7" x14ac:dyDescent="0.3">
      <c r="A275" t="s">
        <v>14</v>
      </c>
      <c r="B275" t="s">
        <v>18</v>
      </c>
      <c r="C275">
        <v>1</v>
      </c>
      <c r="D275">
        <v>6</v>
      </c>
      <c r="E275">
        <v>0.167104</v>
      </c>
      <c r="F275">
        <f t="shared" si="8"/>
        <v>167.10400000000001</v>
      </c>
      <c r="G275">
        <f t="shared" si="9"/>
        <v>-1.7891389059054734</v>
      </c>
    </row>
    <row r="276" spans="1:7" x14ac:dyDescent="0.3">
      <c r="A276" t="s">
        <v>14</v>
      </c>
      <c r="B276" t="s">
        <v>18</v>
      </c>
      <c r="C276">
        <v>2</v>
      </c>
      <c r="D276">
        <v>6</v>
      </c>
      <c r="E276">
        <v>0.16744600000000001</v>
      </c>
      <c r="F276">
        <f t="shared" si="8"/>
        <v>167.446</v>
      </c>
      <c r="G276">
        <f t="shared" si="9"/>
        <v>-1.7870943677549196</v>
      </c>
    </row>
    <row r="277" spans="1:7" x14ac:dyDescent="0.3">
      <c r="A277" t="s">
        <v>14</v>
      </c>
      <c r="B277" t="s">
        <v>18</v>
      </c>
      <c r="C277">
        <v>3</v>
      </c>
      <c r="D277">
        <v>6</v>
      </c>
      <c r="E277">
        <v>0.12937599999999999</v>
      </c>
      <c r="F277">
        <f t="shared" si="8"/>
        <v>129.376</v>
      </c>
      <c r="G277">
        <f t="shared" si="9"/>
        <v>-2.0450323855237769</v>
      </c>
    </row>
    <row r="278" spans="1:7" x14ac:dyDescent="0.3">
      <c r="A278" t="s">
        <v>16</v>
      </c>
      <c r="B278" t="s">
        <v>18</v>
      </c>
      <c r="C278">
        <v>1</v>
      </c>
      <c r="D278">
        <v>6</v>
      </c>
      <c r="E278">
        <v>0.208172</v>
      </c>
      <c r="F278">
        <f t="shared" si="8"/>
        <v>208.172</v>
      </c>
      <c r="G278">
        <f t="shared" si="9"/>
        <v>-1.5693906179164165</v>
      </c>
    </row>
    <row r="279" spans="1:7" x14ac:dyDescent="0.3">
      <c r="A279" t="s">
        <v>16</v>
      </c>
      <c r="B279" t="s">
        <v>18</v>
      </c>
      <c r="C279">
        <v>2</v>
      </c>
      <c r="D279">
        <v>6</v>
      </c>
      <c r="E279">
        <v>0.18245700000000001</v>
      </c>
      <c r="F279">
        <f t="shared" si="8"/>
        <v>182.45700000000002</v>
      </c>
      <c r="G279">
        <f t="shared" si="9"/>
        <v>-1.7012407501598608</v>
      </c>
    </row>
    <row r="280" spans="1:7" x14ac:dyDescent="0.3">
      <c r="A280" t="s">
        <v>16</v>
      </c>
      <c r="B280" t="s">
        <v>18</v>
      </c>
      <c r="C280">
        <v>3</v>
      </c>
      <c r="D280">
        <v>6</v>
      </c>
      <c r="E280">
        <v>0.179174</v>
      </c>
      <c r="F280">
        <f t="shared" si="8"/>
        <v>179.17400000000001</v>
      </c>
      <c r="G280">
        <f t="shared" si="9"/>
        <v>-1.7193978782534898</v>
      </c>
    </row>
    <row r="281" spans="1:7" x14ac:dyDescent="0.3">
      <c r="A281" t="s">
        <v>17</v>
      </c>
      <c r="B281" t="s">
        <v>18</v>
      </c>
      <c r="C281">
        <v>1</v>
      </c>
      <c r="D281">
        <v>6</v>
      </c>
      <c r="E281">
        <v>0.16620499999999999</v>
      </c>
      <c r="F281">
        <f t="shared" si="8"/>
        <v>166.20499999999998</v>
      </c>
      <c r="G281">
        <f t="shared" si="9"/>
        <v>-1.7945333127774503</v>
      </c>
    </row>
    <row r="282" spans="1:7" x14ac:dyDescent="0.3">
      <c r="A282" t="s">
        <v>17</v>
      </c>
      <c r="B282" t="s">
        <v>18</v>
      </c>
      <c r="C282">
        <v>2</v>
      </c>
      <c r="D282">
        <v>6</v>
      </c>
      <c r="E282">
        <v>0.16009799999999999</v>
      </c>
      <c r="F282">
        <f t="shared" si="8"/>
        <v>160.09799999999998</v>
      </c>
      <c r="G282">
        <f t="shared" si="9"/>
        <v>-1.8319691512498759</v>
      </c>
    </row>
    <row r="283" spans="1:7" x14ac:dyDescent="0.3">
      <c r="A283" t="s">
        <v>17</v>
      </c>
      <c r="B283" t="s">
        <v>18</v>
      </c>
      <c r="C283">
        <v>3</v>
      </c>
      <c r="D283">
        <v>6</v>
      </c>
      <c r="E283">
        <v>0.14041200000000001</v>
      </c>
      <c r="F283">
        <f t="shared" si="8"/>
        <v>140.41200000000001</v>
      </c>
      <c r="G283">
        <f t="shared" si="9"/>
        <v>-1.9631743209573158</v>
      </c>
    </row>
    <row r="284" spans="1:7" x14ac:dyDescent="0.3">
      <c r="A284" t="s">
        <v>9</v>
      </c>
      <c r="B284" t="s">
        <v>18</v>
      </c>
      <c r="C284">
        <v>1</v>
      </c>
      <c r="D284">
        <v>8</v>
      </c>
      <c r="E284">
        <v>0.3</v>
      </c>
      <c r="F284">
        <f t="shared" si="8"/>
        <v>300</v>
      </c>
      <c r="G284">
        <f t="shared" si="9"/>
        <v>-1.2039728043259361</v>
      </c>
    </row>
    <row r="285" spans="1:7" x14ac:dyDescent="0.3">
      <c r="A285" t="s">
        <v>9</v>
      </c>
      <c r="B285" t="s">
        <v>18</v>
      </c>
      <c r="C285">
        <v>2</v>
      </c>
      <c r="D285">
        <v>8</v>
      </c>
      <c r="E285">
        <v>0.297489</v>
      </c>
      <c r="F285">
        <f t="shared" si="8"/>
        <v>297.48899999999998</v>
      </c>
      <c r="G285">
        <f t="shared" si="9"/>
        <v>-1.2123780294699529</v>
      </c>
    </row>
    <row r="286" spans="1:7" x14ac:dyDescent="0.3">
      <c r="A286" t="s">
        <v>9</v>
      </c>
      <c r="B286" t="s">
        <v>18</v>
      </c>
      <c r="C286">
        <v>3</v>
      </c>
      <c r="D286">
        <v>8</v>
      </c>
      <c r="E286">
        <v>0.29622599999999999</v>
      </c>
      <c r="F286">
        <f t="shared" si="8"/>
        <v>296.226</v>
      </c>
      <c r="G286">
        <f t="shared" si="9"/>
        <v>-1.2166326024727265</v>
      </c>
    </row>
    <row r="287" spans="1:7" x14ac:dyDescent="0.3">
      <c r="A287" t="s">
        <v>11</v>
      </c>
      <c r="B287" t="s">
        <v>18</v>
      </c>
      <c r="C287">
        <v>1</v>
      </c>
      <c r="D287">
        <v>8</v>
      </c>
      <c r="E287">
        <v>0.287103</v>
      </c>
      <c r="F287">
        <f t="shared" si="8"/>
        <v>287.10300000000001</v>
      </c>
      <c r="G287">
        <f t="shared" si="9"/>
        <v>-1.2479142425889185</v>
      </c>
    </row>
    <row r="288" spans="1:7" x14ac:dyDescent="0.3">
      <c r="A288" t="s">
        <v>11</v>
      </c>
      <c r="B288" t="s">
        <v>18</v>
      </c>
      <c r="C288">
        <v>2</v>
      </c>
      <c r="D288">
        <v>8</v>
      </c>
      <c r="E288">
        <v>0.23219699999999999</v>
      </c>
      <c r="F288">
        <f t="shared" si="8"/>
        <v>232.19699999999997</v>
      </c>
      <c r="G288">
        <f t="shared" si="9"/>
        <v>-1.4601691296984494</v>
      </c>
    </row>
    <row r="289" spans="1:7" x14ac:dyDescent="0.3">
      <c r="A289" t="s">
        <v>11</v>
      </c>
      <c r="B289" t="s">
        <v>18</v>
      </c>
      <c r="C289">
        <v>3</v>
      </c>
      <c r="D289">
        <v>8</v>
      </c>
      <c r="E289">
        <v>0.252386</v>
      </c>
      <c r="F289">
        <f t="shared" si="8"/>
        <v>252.386</v>
      </c>
      <c r="G289">
        <f t="shared" si="9"/>
        <v>-1.3767956173653442</v>
      </c>
    </row>
    <row r="290" spans="1:7" x14ac:dyDescent="0.3">
      <c r="A290" t="s">
        <v>13</v>
      </c>
      <c r="B290" t="s">
        <v>18</v>
      </c>
      <c r="C290">
        <v>1</v>
      </c>
      <c r="D290">
        <v>8</v>
      </c>
      <c r="E290">
        <v>0.303923</v>
      </c>
      <c r="F290">
        <f t="shared" si="8"/>
        <v>303.923</v>
      </c>
      <c r="G290">
        <f t="shared" si="9"/>
        <v>-1.1909808991327959</v>
      </c>
    </row>
    <row r="291" spans="1:7" x14ac:dyDescent="0.3">
      <c r="A291" t="s">
        <v>13</v>
      </c>
      <c r="B291" t="s">
        <v>18</v>
      </c>
      <c r="C291">
        <v>2</v>
      </c>
      <c r="D291">
        <v>8</v>
      </c>
      <c r="E291">
        <v>0.26577299999999998</v>
      </c>
      <c r="F291">
        <f t="shared" si="8"/>
        <v>265.77299999999997</v>
      </c>
      <c r="G291">
        <f t="shared" si="9"/>
        <v>-1.3251127179980438</v>
      </c>
    </row>
    <row r="292" spans="1:7" x14ac:dyDescent="0.3">
      <c r="A292" t="s">
        <v>13</v>
      </c>
      <c r="B292" t="s">
        <v>18</v>
      </c>
      <c r="C292">
        <v>3</v>
      </c>
      <c r="D292">
        <v>8</v>
      </c>
      <c r="E292">
        <v>0.25356400000000001</v>
      </c>
      <c r="F292">
        <f t="shared" si="8"/>
        <v>253.56400000000002</v>
      </c>
      <c r="G292">
        <f t="shared" si="9"/>
        <v>-1.3721390223317116</v>
      </c>
    </row>
    <row r="293" spans="1:7" x14ac:dyDescent="0.3">
      <c r="A293" t="s">
        <v>15</v>
      </c>
      <c r="B293" t="s">
        <v>18</v>
      </c>
      <c r="C293">
        <v>1</v>
      </c>
      <c r="D293">
        <v>8</v>
      </c>
      <c r="E293">
        <v>0.295628</v>
      </c>
      <c r="F293">
        <f t="shared" si="8"/>
        <v>295.62799999999999</v>
      </c>
      <c r="G293">
        <f t="shared" si="9"/>
        <v>-1.2186533717958867</v>
      </c>
    </row>
    <row r="294" spans="1:7" x14ac:dyDescent="0.3">
      <c r="A294" t="s">
        <v>15</v>
      </c>
      <c r="B294" t="s">
        <v>18</v>
      </c>
      <c r="C294">
        <v>2</v>
      </c>
      <c r="D294">
        <v>8</v>
      </c>
      <c r="E294">
        <v>0.278752</v>
      </c>
      <c r="F294">
        <f t="shared" si="8"/>
        <v>278.75200000000001</v>
      </c>
      <c r="G294">
        <f t="shared" si="9"/>
        <v>-1.2774327813456556</v>
      </c>
    </row>
    <row r="295" spans="1:7" x14ac:dyDescent="0.3">
      <c r="A295" t="s">
        <v>15</v>
      </c>
      <c r="B295" t="s">
        <v>18</v>
      </c>
      <c r="C295">
        <v>3</v>
      </c>
      <c r="D295">
        <v>8</v>
      </c>
      <c r="E295">
        <v>0.29610199999999998</v>
      </c>
      <c r="F295">
        <f t="shared" si="8"/>
        <v>296.10199999999998</v>
      </c>
      <c r="G295">
        <f t="shared" si="9"/>
        <v>-1.2170512894225634</v>
      </c>
    </row>
    <row r="296" spans="1:7" x14ac:dyDescent="0.3">
      <c r="A296" t="s">
        <v>12</v>
      </c>
      <c r="B296" t="s">
        <v>18</v>
      </c>
      <c r="C296">
        <v>1</v>
      </c>
      <c r="D296">
        <v>8</v>
      </c>
      <c r="E296">
        <v>0.252857</v>
      </c>
      <c r="F296">
        <f t="shared" si="8"/>
        <v>252.857</v>
      </c>
      <c r="G296">
        <f t="shared" si="9"/>
        <v>-1.3749311674414866</v>
      </c>
    </row>
    <row r="297" spans="1:7" x14ac:dyDescent="0.3">
      <c r="A297" t="s">
        <v>12</v>
      </c>
      <c r="B297" t="s">
        <v>18</v>
      </c>
      <c r="C297">
        <v>2</v>
      </c>
      <c r="D297">
        <v>8</v>
      </c>
      <c r="E297">
        <v>0.21643399999999999</v>
      </c>
      <c r="F297">
        <f t="shared" si="8"/>
        <v>216.434</v>
      </c>
      <c r="G297">
        <f t="shared" si="9"/>
        <v>-1.530469627900291</v>
      </c>
    </row>
    <row r="298" spans="1:7" x14ac:dyDescent="0.3">
      <c r="A298" t="s">
        <v>12</v>
      </c>
      <c r="B298" t="s">
        <v>18</v>
      </c>
      <c r="C298">
        <v>3</v>
      </c>
      <c r="D298">
        <v>8</v>
      </c>
      <c r="E298">
        <v>0.252946</v>
      </c>
      <c r="F298">
        <f t="shared" si="8"/>
        <v>252.946</v>
      </c>
      <c r="G298">
        <f t="shared" si="9"/>
        <v>-1.3745792517710831</v>
      </c>
    </row>
    <row r="299" spans="1:7" x14ac:dyDescent="0.3">
      <c r="A299" t="s">
        <v>14</v>
      </c>
      <c r="B299" t="s">
        <v>18</v>
      </c>
      <c r="C299">
        <v>1</v>
      </c>
      <c r="D299">
        <v>8</v>
      </c>
      <c r="E299">
        <v>0.26611800000000002</v>
      </c>
      <c r="F299">
        <f t="shared" si="8"/>
        <v>266.11799999999999</v>
      </c>
      <c r="G299">
        <f t="shared" si="9"/>
        <v>-1.3238154595432745</v>
      </c>
    </row>
    <row r="300" spans="1:7" x14ac:dyDescent="0.3">
      <c r="A300" t="s">
        <v>14</v>
      </c>
      <c r="B300" t="s">
        <v>18</v>
      </c>
      <c r="C300">
        <v>2</v>
      </c>
      <c r="D300">
        <v>8</v>
      </c>
      <c r="E300">
        <v>0.26381300000000002</v>
      </c>
      <c r="F300">
        <f t="shared" si="8"/>
        <v>263.81300000000005</v>
      </c>
      <c r="G300">
        <f t="shared" si="9"/>
        <v>-1.3325147601557381</v>
      </c>
    </row>
    <row r="301" spans="1:7" x14ac:dyDescent="0.3">
      <c r="A301" t="s">
        <v>14</v>
      </c>
      <c r="B301" t="s">
        <v>18</v>
      </c>
      <c r="C301">
        <v>3</v>
      </c>
      <c r="D301">
        <v>8</v>
      </c>
      <c r="E301">
        <v>0.283524</v>
      </c>
      <c r="F301">
        <f t="shared" si="8"/>
        <v>283.524</v>
      </c>
      <c r="G301">
        <f t="shared" si="9"/>
        <v>-1.2604585033127984</v>
      </c>
    </row>
    <row r="302" spans="1:7" x14ac:dyDescent="0.3">
      <c r="A302" t="s">
        <v>16</v>
      </c>
      <c r="B302" t="s">
        <v>18</v>
      </c>
      <c r="C302">
        <v>1</v>
      </c>
      <c r="D302">
        <v>8</v>
      </c>
      <c r="E302">
        <v>0.28636400000000001</v>
      </c>
      <c r="F302">
        <f t="shared" si="8"/>
        <v>286.36400000000003</v>
      </c>
      <c r="G302">
        <f t="shared" si="9"/>
        <v>-1.2504915501203653</v>
      </c>
    </row>
    <row r="303" spans="1:7" x14ac:dyDescent="0.3">
      <c r="A303" t="s">
        <v>16</v>
      </c>
      <c r="B303" t="s">
        <v>18</v>
      </c>
      <c r="C303">
        <v>2</v>
      </c>
      <c r="D303">
        <v>8</v>
      </c>
      <c r="E303">
        <v>0.25885999999999998</v>
      </c>
      <c r="F303">
        <f t="shared" si="8"/>
        <v>258.85999999999996</v>
      </c>
      <c r="G303">
        <f t="shared" si="9"/>
        <v>-1.351467903967845</v>
      </c>
    </row>
    <row r="304" spans="1:7" x14ac:dyDescent="0.3">
      <c r="A304" t="s">
        <v>16</v>
      </c>
      <c r="B304" t="s">
        <v>18</v>
      </c>
      <c r="C304">
        <v>3</v>
      </c>
      <c r="D304">
        <v>8</v>
      </c>
      <c r="E304">
        <v>0.24951899999999999</v>
      </c>
      <c r="F304">
        <f t="shared" si="8"/>
        <v>249.51899999999998</v>
      </c>
      <c r="G304">
        <f t="shared" si="9"/>
        <v>-1.3882202143853941</v>
      </c>
    </row>
    <row r="305" spans="1:7" x14ac:dyDescent="0.3">
      <c r="A305" t="s">
        <v>17</v>
      </c>
      <c r="B305" t="s">
        <v>18</v>
      </c>
      <c r="C305">
        <v>1</v>
      </c>
      <c r="D305">
        <v>8</v>
      </c>
      <c r="E305">
        <v>0.23438300000000001</v>
      </c>
      <c r="F305">
        <f t="shared" si="8"/>
        <v>234.38300000000001</v>
      </c>
      <c r="G305">
        <f t="shared" si="9"/>
        <v>-1.4507987495066574</v>
      </c>
    </row>
    <row r="306" spans="1:7" x14ac:dyDescent="0.3">
      <c r="A306" t="s">
        <v>17</v>
      </c>
      <c r="B306" t="s">
        <v>18</v>
      </c>
      <c r="C306">
        <v>2</v>
      </c>
      <c r="D306">
        <v>8</v>
      </c>
      <c r="E306">
        <v>0.236427</v>
      </c>
      <c r="F306">
        <f t="shared" si="8"/>
        <v>236.42699999999999</v>
      </c>
      <c r="G306">
        <f t="shared" si="9"/>
        <v>-1.4421157867740551</v>
      </c>
    </row>
    <row r="307" spans="1:7" x14ac:dyDescent="0.3">
      <c r="A307" t="s">
        <v>17</v>
      </c>
      <c r="B307" t="s">
        <v>18</v>
      </c>
      <c r="C307">
        <v>3</v>
      </c>
      <c r="D307">
        <v>8</v>
      </c>
      <c r="E307">
        <v>0.25363200000000002</v>
      </c>
      <c r="F307">
        <f t="shared" si="8"/>
        <v>253.63200000000003</v>
      </c>
      <c r="G307">
        <f t="shared" si="9"/>
        <v>-1.3718708814141671</v>
      </c>
    </row>
    <row r="308" spans="1:7" x14ac:dyDescent="0.3">
      <c r="A308" t="s">
        <v>9</v>
      </c>
      <c r="B308" t="s">
        <v>18</v>
      </c>
      <c r="C308">
        <v>1</v>
      </c>
      <c r="D308">
        <v>10</v>
      </c>
      <c r="E308">
        <v>0.30249199999999998</v>
      </c>
      <c r="F308">
        <f t="shared" si="8"/>
        <v>302.49199999999996</v>
      </c>
      <c r="G308">
        <f t="shared" si="9"/>
        <v>-1.1957004481419418</v>
      </c>
    </row>
    <row r="309" spans="1:7" x14ac:dyDescent="0.3">
      <c r="A309" t="s">
        <v>9</v>
      </c>
      <c r="B309" t="s">
        <v>18</v>
      </c>
      <c r="C309">
        <v>2</v>
      </c>
      <c r="D309">
        <v>10</v>
      </c>
      <c r="E309">
        <v>0.30453999999999998</v>
      </c>
      <c r="F309">
        <f t="shared" si="8"/>
        <v>304.53999999999996</v>
      </c>
      <c r="G309">
        <f t="shared" si="9"/>
        <v>-1.1889528375695508</v>
      </c>
    </row>
    <row r="310" spans="1:7" x14ac:dyDescent="0.3">
      <c r="A310" t="s">
        <v>9</v>
      </c>
      <c r="B310" t="s">
        <v>18</v>
      </c>
      <c r="C310">
        <v>3</v>
      </c>
      <c r="D310">
        <v>10</v>
      </c>
      <c r="E310">
        <v>0.29586800000000002</v>
      </c>
      <c r="F310">
        <f t="shared" si="8"/>
        <v>295.86799999999999</v>
      </c>
      <c r="G310">
        <f t="shared" si="9"/>
        <v>-1.2178418700674871</v>
      </c>
    </row>
    <row r="311" spans="1:7" x14ac:dyDescent="0.3">
      <c r="A311" t="s">
        <v>11</v>
      </c>
      <c r="B311" t="s">
        <v>18</v>
      </c>
      <c r="C311">
        <v>1</v>
      </c>
      <c r="D311">
        <v>10</v>
      </c>
      <c r="E311">
        <v>0.31863200000000003</v>
      </c>
      <c r="F311">
        <f t="shared" si="8"/>
        <v>318.63200000000001</v>
      </c>
      <c r="G311">
        <f t="shared" si="9"/>
        <v>-1.1437184471274167</v>
      </c>
    </row>
    <row r="312" spans="1:7" x14ac:dyDescent="0.3">
      <c r="A312" t="s">
        <v>11</v>
      </c>
      <c r="B312" t="s">
        <v>18</v>
      </c>
      <c r="C312">
        <v>2</v>
      </c>
      <c r="D312">
        <v>10</v>
      </c>
      <c r="E312">
        <v>0.28337400000000001</v>
      </c>
      <c r="F312">
        <f t="shared" si="8"/>
        <v>283.37400000000002</v>
      </c>
      <c r="G312">
        <f t="shared" si="9"/>
        <v>-1.2609876990534803</v>
      </c>
    </row>
    <row r="313" spans="1:7" x14ac:dyDescent="0.3">
      <c r="A313" t="s">
        <v>11</v>
      </c>
      <c r="B313" t="s">
        <v>18</v>
      </c>
      <c r="C313">
        <v>3</v>
      </c>
      <c r="D313">
        <v>10</v>
      </c>
      <c r="E313">
        <v>0.29137099999999999</v>
      </c>
      <c r="F313">
        <f t="shared" si="8"/>
        <v>291.37099999999998</v>
      </c>
      <c r="G313">
        <f t="shared" si="9"/>
        <v>-1.2331579097341738</v>
      </c>
    </row>
    <row r="314" spans="1:7" x14ac:dyDescent="0.3">
      <c r="A314" t="s">
        <v>13</v>
      </c>
      <c r="B314" t="s">
        <v>18</v>
      </c>
      <c r="C314">
        <v>1</v>
      </c>
      <c r="D314">
        <v>10</v>
      </c>
      <c r="E314">
        <v>0.34231</v>
      </c>
      <c r="F314">
        <f t="shared" si="8"/>
        <v>342.31</v>
      </c>
      <c r="G314">
        <f t="shared" si="9"/>
        <v>-1.0720385197330784</v>
      </c>
    </row>
    <row r="315" spans="1:7" x14ac:dyDescent="0.3">
      <c r="A315" t="s">
        <v>13</v>
      </c>
      <c r="B315" t="s">
        <v>18</v>
      </c>
      <c r="C315">
        <v>2</v>
      </c>
      <c r="D315">
        <v>10</v>
      </c>
      <c r="E315">
        <v>0.300431</v>
      </c>
      <c r="F315">
        <f t="shared" si="8"/>
        <v>300.43099999999998</v>
      </c>
      <c r="G315">
        <f t="shared" si="9"/>
        <v>-1.2025371686774566</v>
      </c>
    </row>
    <row r="316" spans="1:7" x14ac:dyDescent="0.3">
      <c r="A316" t="s">
        <v>13</v>
      </c>
      <c r="B316" t="s">
        <v>18</v>
      </c>
      <c r="C316">
        <v>3</v>
      </c>
      <c r="D316">
        <v>10</v>
      </c>
      <c r="E316">
        <v>0.287966</v>
      </c>
      <c r="F316">
        <f t="shared" si="8"/>
        <v>287.96600000000001</v>
      </c>
      <c r="G316">
        <f t="shared" si="9"/>
        <v>-1.2449128613708522</v>
      </c>
    </row>
    <row r="317" spans="1:7" x14ac:dyDescent="0.3">
      <c r="A317" t="s">
        <v>15</v>
      </c>
      <c r="B317" t="s">
        <v>18</v>
      </c>
      <c r="C317">
        <v>1</v>
      </c>
      <c r="D317">
        <v>10</v>
      </c>
      <c r="E317">
        <v>0.32087700000000002</v>
      </c>
      <c r="F317">
        <f t="shared" si="8"/>
        <v>320.87700000000001</v>
      </c>
      <c r="G317">
        <f t="shared" si="9"/>
        <v>-1.1366974068534985</v>
      </c>
    </row>
    <row r="318" spans="1:7" x14ac:dyDescent="0.3">
      <c r="A318" t="s">
        <v>15</v>
      </c>
      <c r="B318" t="s">
        <v>18</v>
      </c>
      <c r="C318">
        <v>2</v>
      </c>
      <c r="D318">
        <v>10</v>
      </c>
      <c r="E318">
        <v>0.3513</v>
      </c>
      <c r="F318">
        <f t="shared" si="8"/>
        <v>351.3</v>
      </c>
      <c r="G318">
        <f t="shared" si="9"/>
        <v>-1.0461147197103557</v>
      </c>
    </row>
    <row r="319" spans="1:7" x14ac:dyDescent="0.3">
      <c r="A319" t="s">
        <v>15</v>
      </c>
      <c r="B319" t="s">
        <v>18</v>
      </c>
      <c r="C319">
        <v>3</v>
      </c>
      <c r="D319">
        <v>10</v>
      </c>
      <c r="E319">
        <v>0.33143499999999998</v>
      </c>
      <c r="F319">
        <f t="shared" si="8"/>
        <v>331.435</v>
      </c>
      <c r="G319">
        <f t="shared" si="9"/>
        <v>-1.1043235670134812</v>
      </c>
    </row>
    <row r="320" spans="1:7" x14ac:dyDescent="0.3">
      <c r="A320" t="s">
        <v>12</v>
      </c>
      <c r="B320" t="s">
        <v>18</v>
      </c>
      <c r="C320">
        <v>1</v>
      </c>
      <c r="D320">
        <v>10</v>
      </c>
      <c r="E320">
        <v>0.29088599999999998</v>
      </c>
      <c r="F320">
        <f t="shared" si="8"/>
        <v>290.88599999999997</v>
      </c>
      <c r="G320">
        <f t="shared" si="9"/>
        <v>-1.2348238411430519</v>
      </c>
    </row>
    <row r="321" spans="1:7" x14ac:dyDescent="0.3">
      <c r="A321" t="s">
        <v>12</v>
      </c>
      <c r="B321" t="s">
        <v>18</v>
      </c>
      <c r="C321">
        <v>2</v>
      </c>
      <c r="D321">
        <v>10</v>
      </c>
      <c r="E321">
        <v>0.27622600000000003</v>
      </c>
      <c r="F321">
        <f t="shared" si="8"/>
        <v>276.226</v>
      </c>
      <c r="G321">
        <f t="shared" si="9"/>
        <v>-1.2865359077523257</v>
      </c>
    </row>
    <row r="322" spans="1:7" x14ac:dyDescent="0.3">
      <c r="A322" t="s">
        <v>12</v>
      </c>
      <c r="B322" t="s">
        <v>18</v>
      </c>
      <c r="C322">
        <v>3</v>
      </c>
      <c r="D322">
        <v>10</v>
      </c>
      <c r="E322">
        <v>0.30994500000000003</v>
      </c>
      <c r="F322">
        <f t="shared" si="8"/>
        <v>309.94500000000005</v>
      </c>
      <c r="G322">
        <f t="shared" si="9"/>
        <v>-1.1713604165984592</v>
      </c>
    </row>
    <row r="323" spans="1:7" x14ac:dyDescent="0.3">
      <c r="A323" t="s">
        <v>14</v>
      </c>
      <c r="B323" t="s">
        <v>18</v>
      </c>
      <c r="C323">
        <v>1</v>
      </c>
      <c r="D323">
        <v>10</v>
      </c>
      <c r="E323">
        <v>0.306726</v>
      </c>
      <c r="F323">
        <f t="shared" ref="F323:F379" si="10">E323*1000</f>
        <v>306.726</v>
      </c>
      <c r="G323">
        <f t="shared" ref="G323:G379" si="11">LN(E323)</f>
        <v>-1.181800438060796</v>
      </c>
    </row>
    <row r="324" spans="1:7" x14ac:dyDescent="0.3">
      <c r="A324" t="s">
        <v>14</v>
      </c>
      <c r="B324" t="s">
        <v>18</v>
      </c>
      <c r="C324">
        <v>2</v>
      </c>
      <c r="D324">
        <v>10</v>
      </c>
      <c r="E324">
        <v>0.28204699999999999</v>
      </c>
      <c r="F324">
        <f t="shared" si="10"/>
        <v>282.04699999999997</v>
      </c>
      <c r="G324">
        <f t="shared" si="11"/>
        <v>-1.2656815552647027</v>
      </c>
    </row>
    <row r="325" spans="1:7" x14ac:dyDescent="0.3">
      <c r="A325" t="s">
        <v>14</v>
      </c>
      <c r="B325" t="s">
        <v>18</v>
      </c>
      <c r="C325">
        <v>3</v>
      </c>
      <c r="D325">
        <v>10</v>
      </c>
      <c r="E325">
        <v>0.31267600000000001</v>
      </c>
      <c r="F325">
        <f t="shared" si="10"/>
        <v>312.67599999999999</v>
      </c>
      <c r="G325">
        <f t="shared" si="11"/>
        <v>-1.1625877683432781</v>
      </c>
    </row>
    <row r="326" spans="1:7" x14ac:dyDescent="0.3">
      <c r="A326" t="s">
        <v>16</v>
      </c>
      <c r="B326" t="s">
        <v>18</v>
      </c>
      <c r="C326">
        <v>1</v>
      </c>
      <c r="D326">
        <v>10</v>
      </c>
      <c r="E326">
        <v>0.30101800000000001</v>
      </c>
      <c r="F326">
        <f t="shared" si="10"/>
        <v>301.01800000000003</v>
      </c>
      <c r="G326">
        <f t="shared" si="11"/>
        <v>-1.200585215356798</v>
      </c>
    </row>
    <row r="327" spans="1:7" x14ac:dyDescent="0.3">
      <c r="A327" t="s">
        <v>16</v>
      </c>
      <c r="B327" t="s">
        <v>18</v>
      </c>
      <c r="C327">
        <v>2</v>
      </c>
      <c r="D327">
        <v>10</v>
      </c>
      <c r="E327">
        <v>0.288217</v>
      </c>
      <c r="F327">
        <f t="shared" si="10"/>
        <v>288.21699999999998</v>
      </c>
      <c r="G327">
        <f t="shared" si="11"/>
        <v>-1.2440416103416572</v>
      </c>
    </row>
    <row r="328" spans="1:7" x14ac:dyDescent="0.3">
      <c r="A328" t="s">
        <v>16</v>
      </c>
      <c r="B328" t="s">
        <v>18</v>
      </c>
      <c r="C328">
        <v>3</v>
      </c>
      <c r="D328">
        <v>10</v>
      </c>
      <c r="E328">
        <v>0.29725699999999999</v>
      </c>
      <c r="F328">
        <f t="shared" si="10"/>
        <v>297.25700000000001</v>
      </c>
      <c r="G328">
        <f t="shared" si="11"/>
        <v>-1.2131581944875147</v>
      </c>
    </row>
    <row r="329" spans="1:7" x14ac:dyDescent="0.3">
      <c r="A329" t="s">
        <v>17</v>
      </c>
      <c r="B329" t="s">
        <v>18</v>
      </c>
      <c r="C329">
        <v>1</v>
      </c>
      <c r="D329">
        <v>10</v>
      </c>
      <c r="E329">
        <v>0.26513700000000001</v>
      </c>
      <c r="F329">
        <f t="shared" si="10"/>
        <v>265.137</v>
      </c>
      <c r="G329">
        <f t="shared" si="11"/>
        <v>-1.3275086054525449</v>
      </c>
    </row>
    <row r="330" spans="1:7" x14ac:dyDescent="0.3">
      <c r="A330" t="s">
        <v>17</v>
      </c>
      <c r="B330" t="s">
        <v>18</v>
      </c>
      <c r="C330">
        <v>2</v>
      </c>
      <c r="D330">
        <v>10</v>
      </c>
      <c r="E330">
        <v>0.23191700000000001</v>
      </c>
      <c r="F330">
        <f t="shared" si="10"/>
        <v>231.917</v>
      </c>
      <c r="G330">
        <f t="shared" si="11"/>
        <v>-1.4613757299473995</v>
      </c>
    </row>
    <row r="331" spans="1:7" x14ac:dyDescent="0.3">
      <c r="A331" t="s">
        <v>17</v>
      </c>
      <c r="B331" t="s">
        <v>18</v>
      </c>
      <c r="C331">
        <v>3</v>
      </c>
      <c r="D331">
        <v>10</v>
      </c>
      <c r="E331">
        <v>0.25589099999999998</v>
      </c>
      <c r="F331">
        <f t="shared" si="10"/>
        <v>255.89099999999999</v>
      </c>
      <c r="G331">
        <f t="shared" si="11"/>
        <v>-1.3630037064231493</v>
      </c>
    </row>
    <row r="332" spans="1:7" x14ac:dyDescent="0.3">
      <c r="A332" t="s">
        <v>9</v>
      </c>
      <c r="B332" t="s">
        <v>18</v>
      </c>
      <c r="C332">
        <v>1</v>
      </c>
      <c r="D332">
        <v>12</v>
      </c>
      <c r="E332">
        <v>0.31982699999999997</v>
      </c>
      <c r="F332">
        <f t="shared" si="10"/>
        <v>319.827</v>
      </c>
      <c r="G332">
        <f t="shared" si="11"/>
        <v>-1.1399750543787521</v>
      </c>
    </row>
    <row r="333" spans="1:7" x14ac:dyDescent="0.3">
      <c r="A333" t="s">
        <v>9</v>
      </c>
      <c r="B333" t="s">
        <v>18</v>
      </c>
      <c r="C333">
        <v>2</v>
      </c>
      <c r="D333">
        <v>12</v>
      </c>
      <c r="E333">
        <v>0.30916500000000002</v>
      </c>
      <c r="F333">
        <f t="shared" si="10"/>
        <v>309.16500000000002</v>
      </c>
      <c r="G333">
        <f t="shared" si="11"/>
        <v>-1.1738801640187666</v>
      </c>
    </row>
    <row r="334" spans="1:7" x14ac:dyDescent="0.3">
      <c r="A334" t="s">
        <v>9</v>
      </c>
      <c r="B334" t="s">
        <v>18</v>
      </c>
      <c r="C334">
        <v>3</v>
      </c>
      <c r="D334">
        <v>12</v>
      </c>
      <c r="E334">
        <v>0.34948400000000002</v>
      </c>
      <c r="F334">
        <f t="shared" si="10"/>
        <v>349.48400000000004</v>
      </c>
      <c r="G334">
        <f t="shared" si="11"/>
        <v>-1.0512974980414584</v>
      </c>
    </row>
    <row r="335" spans="1:7" x14ac:dyDescent="0.3">
      <c r="A335" t="s">
        <v>11</v>
      </c>
      <c r="B335" t="s">
        <v>18</v>
      </c>
      <c r="C335">
        <v>1</v>
      </c>
      <c r="D335">
        <v>12</v>
      </c>
      <c r="E335">
        <v>0.32864500000000002</v>
      </c>
      <c r="F335">
        <f t="shared" si="10"/>
        <v>328.64500000000004</v>
      </c>
      <c r="G335">
        <f t="shared" si="11"/>
        <v>-1.112777138141515</v>
      </c>
    </row>
    <row r="336" spans="1:7" x14ac:dyDescent="0.3">
      <c r="A336" t="s">
        <v>11</v>
      </c>
      <c r="B336" t="s">
        <v>18</v>
      </c>
      <c r="C336">
        <v>2</v>
      </c>
      <c r="D336">
        <v>12</v>
      </c>
      <c r="E336">
        <v>0.29379300000000003</v>
      </c>
      <c r="F336">
        <f t="shared" si="10"/>
        <v>293.79300000000001</v>
      </c>
      <c r="G336">
        <f t="shared" si="11"/>
        <v>-1.2248798412579875</v>
      </c>
    </row>
    <row r="337" spans="1:7" x14ac:dyDescent="0.3">
      <c r="A337" t="s">
        <v>11</v>
      </c>
      <c r="B337" t="s">
        <v>18</v>
      </c>
      <c r="C337">
        <v>3</v>
      </c>
      <c r="D337">
        <v>12</v>
      </c>
      <c r="E337">
        <v>0.32607000000000003</v>
      </c>
      <c r="F337">
        <f t="shared" si="10"/>
        <v>326.07000000000005</v>
      </c>
      <c r="G337">
        <f t="shared" si="11"/>
        <v>-1.1206431967389316</v>
      </c>
    </row>
    <row r="338" spans="1:7" x14ac:dyDescent="0.3">
      <c r="A338" t="s">
        <v>13</v>
      </c>
      <c r="B338" t="s">
        <v>18</v>
      </c>
      <c r="C338">
        <v>1</v>
      </c>
      <c r="D338">
        <v>12</v>
      </c>
      <c r="E338">
        <v>0.347501</v>
      </c>
      <c r="F338">
        <f t="shared" si="10"/>
        <v>347.50099999999998</v>
      </c>
      <c r="G338">
        <f t="shared" si="11"/>
        <v>-1.0569877362835891</v>
      </c>
    </row>
    <row r="339" spans="1:7" x14ac:dyDescent="0.3">
      <c r="A339" t="s">
        <v>13</v>
      </c>
      <c r="B339" t="s">
        <v>18</v>
      </c>
      <c r="C339">
        <v>2</v>
      </c>
      <c r="D339">
        <v>12</v>
      </c>
      <c r="E339">
        <v>0.32282899999999998</v>
      </c>
      <c r="F339">
        <f t="shared" si="10"/>
        <v>322.82899999999995</v>
      </c>
      <c r="G339">
        <f t="shared" si="11"/>
        <v>-1.1306325077120751</v>
      </c>
    </row>
    <row r="340" spans="1:7" x14ac:dyDescent="0.3">
      <c r="A340" t="s">
        <v>13</v>
      </c>
      <c r="B340" t="s">
        <v>18</v>
      </c>
      <c r="C340">
        <v>3</v>
      </c>
      <c r="D340">
        <v>12</v>
      </c>
      <c r="E340">
        <v>0.33468500000000001</v>
      </c>
      <c r="F340">
        <f t="shared" si="10"/>
        <v>334.685</v>
      </c>
      <c r="G340">
        <f t="shared" si="11"/>
        <v>-1.0945654880224955</v>
      </c>
    </row>
    <row r="341" spans="1:7" x14ac:dyDescent="0.3">
      <c r="A341" t="s">
        <v>15</v>
      </c>
      <c r="B341" t="s">
        <v>18</v>
      </c>
      <c r="C341">
        <v>1</v>
      </c>
      <c r="D341">
        <v>12</v>
      </c>
      <c r="E341">
        <v>0.32457000000000003</v>
      </c>
      <c r="F341">
        <f t="shared" si="10"/>
        <v>324.57000000000005</v>
      </c>
      <c r="G341">
        <f t="shared" si="11"/>
        <v>-1.1252540496145453</v>
      </c>
    </row>
    <row r="342" spans="1:7" x14ac:dyDescent="0.3">
      <c r="A342" t="s">
        <v>15</v>
      </c>
      <c r="B342" t="s">
        <v>18</v>
      </c>
      <c r="C342">
        <v>2</v>
      </c>
      <c r="D342">
        <v>12</v>
      </c>
      <c r="E342">
        <v>0.33119199999999999</v>
      </c>
      <c r="F342">
        <f t="shared" si="10"/>
        <v>331.19200000000001</v>
      </c>
      <c r="G342">
        <f t="shared" si="11"/>
        <v>-1.1050570113521312</v>
      </c>
    </row>
    <row r="343" spans="1:7" x14ac:dyDescent="0.3">
      <c r="A343" t="s">
        <v>15</v>
      </c>
      <c r="B343" t="s">
        <v>18</v>
      </c>
      <c r="C343">
        <v>3</v>
      </c>
      <c r="D343">
        <v>12</v>
      </c>
      <c r="E343">
        <v>0.35880000000000001</v>
      </c>
      <c r="F343">
        <f t="shared" si="10"/>
        <v>358.8</v>
      </c>
      <c r="G343">
        <f t="shared" si="11"/>
        <v>-1.0249901487974959</v>
      </c>
    </row>
    <row r="344" spans="1:7" x14ac:dyDescent="0.3">
      <c r="A344" t="s">
        <v>12</v>
      </c>
      <c r="B344" t="s">
        <v>18</v>
      </c>
      <c r="C344">
        <v>1</v>
      </c>
      <c r="D344">
        <v>12</v>
      </c>
      <c r="E344">
        <v>0.31458199999999997</v>
      </c>
      <c r="F344">
        <f t="shared" si="10"/>
        <v>314.58199999999999</v>
      </c>
      <c r="G344">
        <f t="shared" si="11"/>
        <v>-1.1565105055065905</v>
      </c>
    </row>
    <row r="345" spans="1:7" x14ac:dyDescent="0.3">
      <c r="A345" t="s">
        <v>12</v>
      </c>
      <c r="B345" t="s">
        <v>18</v>
      </c>
      <c r="C345">
        <v>2</v>
      </c>
      <c r="D345">
        <v>12</v>
      </c>
      <c r="E345">
        <v>0.32043300000000002</v>
      </c>
      <c r="F345">
        <f t="shared" si="10"/>
        <v>320.43300000000005</v>
      </c>
      <c r="G345">
        <f t="shared" si="11"/>
        <v>-1.1380820728370011</v>
      </c>
    </row>
    <row r="346" spans="1:7" x14ac:dyDescent="0.3">
      <c r="A346" t="s">
        <v>12</v>
      </c>
      <c r="B346" t="s">
        <v>18</v>
      </c>
      <c r="C346">
        <v>3</v>
      </c>
      <c r="D346">
        <v>12</v>
      </c>
      <c r="E346">
        <v>0.32292999999999999</v>
      </c>
      <c r="F346">
        <f t="shared" si="10"/>
        <v>322.93</v>
      </c>
      <c r="G346">
        <f t="shared" si="11"/>
        <v>-1.1303196975125314</v>
      </c>
    </row>
    <row r="347" spans="1:7" x14ac:dyDescent="0.3">
      <c r="A347" t="s">
        <v>14</v>
      </c>
      <c r="B347" t="s">
        <v>18</v>
      </c>
      <c r="C347">
        <v>1</v>
      </c>
      <c r="D347">
        <v>12</v>
      </c>
      <c r="E347">
        <v>0.31136200000000003</v>
      </c>
      <c r="F347">
        <f t="shared" si="10"/>
        <v>311.36200000000002</v>
      </c>
      <c r="G347">
        <f t="shared" si="11"/>
        <v>-1.1667990565724444</v>
      </c>
    </row>
    <row r="348" spans="1:7" x14ac:dyDescent="0.3">
      <c r="A348" t="s">
        <v>14</v>
      </c>
      <c r="B348" t="s">
        <v>18</v>
      </c>
      <c r="C348">
        <v>2</v>
      </c>
      <c r="D348">
        <v>12</v>
      </c>
      <c r="E348">
        <v>0.32303999999999999</v>
      </c>
      <c r="F348">
        <f t="shared" si="10"/>
        <v>323.04000000000002</v>
      </c>
      <c r="G348">
        <f t="shared" si="11"/>
        <v>-1.1299791244176096</v>
      </c>
    </row>
    <row r="349" spans="1:7" x14ac:dyDescent="0.3">
      <c r="A349" t="s">
        <v>14</v>
      </c>
      <c r="B349" t="s">
        <v>18</v>
      </c>
      <c r="C349">
        <v>3</v>
      </c>
      <c r="D349">
        <v>12</v>
      </c>
      <c r="E349">
        <v>0.33044600000000002</v>
      </c>
      <c r="F349">
        <f t="shared" si="10"/>
        <v>330.44600000000003</v>
      </c>
      <c r="G349">
        <f t="shared" si="11"/>
        <v>-1.1073120218446422</v>
      </c>
    </row>
    <row r="350" spans="1:7" x14ac:dyDescent="0.3">
      <c r="A350" t="s">
        <v>16</v>
      </c>
      <c r="B350" t="s">
        <v>18</v>
      </c>
      <c r="C350">
        <v>1</v>
      </c>
      <c r="D350">
        <v>12</v>
      </c>
      <c r="E350">
        <v>0.28746899999999997</v>
      </c>
      <c r="F350">
        <f t="shared" si="10"/>
        <v>287.46899999999999</v>
      </c>
      <c r="G350">
        <f t="shared" si="11"/>
        <v>-1.2466402506453389</v>
      </c>
    </row>
    <row r="351" spans="1:7" x14ac:dyDescent="0.3">
      <c r="A351" t="s">
        <v>16</v>
      </c>
      <c r="B351" t="s">
        <v>18</v>
      </c>
      <c r="C351">
        <v>2</v>
      </c>
      <c r="D351">
        <v>12</v>
      </c>
      <c r="E351">
        <v>0.34416999999999998</v>
      </c>
      <c r="F351">
        <f t="shared" si="10"/>
        <v>344.16999999999996</v>
      </c>
      <c r="G351">
        <f t="shared" si="11"/>
        <v>-1.0666195576319364</v>
      </c>
    </row>
    <row r="352" spans="1:7" x14ac:dyDescent="0.3">
      <c r="A352" t="s">
        <v>16</v>
      </c>
      <c r="B352" t="s">
        <v>18</v>
      </c>
      <c r="C352">
        <v>3</v>
      </c>
      <c r="D352">
        <v>12</v>
      </c>
      <c r="E352">
        <v>0.31582700000000002</v>
      </c>
      <c r="F352">
        <f t="shared" si="10"/>
        <v>315.827</v>
      </c>
      <c r="G352">
        <f t="shared" si="11"/>
        <v>-1.1525606836651734</v>
      </c>
    </row>
    <row r="353" spans="1:7" x14ac:dyDescent="0.3">
      <c r="A353" t="s">
        <v>17</v>
      </c>
      <c r="B353" t="s">
        <v>18</v>
      </c>
      <c r="C353">
        <v>1</v>
      </c>
      <c r="D353">
        <v>12</v>
      </c>
      <c r="E353">
        <v>0.27506799999999998</v>
      </c>
      <c r="F353">
        <f t="shared" si="10"/>
        <v>275.06799999999998</v>
      </c>
      <c r="G353">
        <f t="shared" si="11"/>
        <v>-1.2907369391551551</v>
      </c>
    </row>
    <row r="354" spans="1:7" x14ac:dyDescent="0.3">
      <c r="A354" t="s">
        <v>17</v>
      </c>
      <c r="B354" t="s">
        <v>18</v>
      </c>
      <c r="C354">
        <v>2</v>
      </c>
      <c r="D354">
        <v>12</v>
      </c>
      <c r="E354">
        <v>0.26269300000000001</v>
      </c>
      <c r="F354">
        <f t="shared" si="10"/>
        <v>262.69299999999998</v>
      </c>
      <c r="G354">
        <f t="shared" si="11"/>
        <v>-1.3367692290103381</v>
      </c>
    </row>
    <row r="355" spans="1:7" x14ac:dyDescent="0.3">
      <c r="A355" t="s">
        <v>17</v>
      </c>
      <c r="B355" t="s">
        <v>18</v>
      </c>
      <c r="C355">
        <v>3</v>
      </c>
      <c r="D355">
        <v>12</v>
      </c>
      <c r="E355">
        <v>0.26016699999999998</v>
      </c>
      <c r="F355">
        <f t="shared" si="10"/>
        <v>260.16699999999997</v>
      </c>
      <c r="G355">
        <f t="shared" si="11"/>
        <v>-1.3464315464656</v>
      </c>
    </row>
    <row r="356" spans="1:7" x14ac:dyDescent="0.3">
      <c r="A356" t="s">
        <v>9</v>
      </c>
      <c r="B356" t="s">
        <v>18</v>
      </c>
      <c r="C356">
        <v>1</v>
      </c>
      <c r="D356">
        <v>14</v>
      </c>
      <c r="E356">
        <v>0.33508399999999999</v>
      </c>
      <c r="F356">
        <f t="shared" si="10"/>
        <v>335.084</v>
      </c>
      <c r="G356">
        <f t="shared" si="11"/>
        <v>-1.0933740323200054</v>
      </c>
    </row>
    <row r="357" spans="1:7" x14ac:dyDescent="0.3">
      <c r="A357" t="s">
        <v>9</v>
      </c>
      <c r="B357" t="s">
        <v>18</v>
      </c>
      <c r="C357">
        <v>2</v>
      </c>
      <c r="D357">
        <v>14</v>
      </c>
      <c r="E357">
        <v>0.32626899999999998</v>
      </c>
      <c r="F357">
        <f t="shared" si="10"/>
        <v>326.26899999999995</v>
      </c>
      <c r="G357">
        <f t="shared" si="11"/>
        <v>-1.1200330844930815</v>
      </c>
    </row>
    <row r="358" spans="1:7" x14ac:dyDescent="0.3">
      <c r="A358" t="s">
        <v>9</v>
      </c>
      <c r="B358" t="s">
        <v>18</v>
      </c>
      <c r="C358">
        <v>3</v>
      </c>
      <c r="D358">
        <v>14</v>
      </c>
      <c r="E358">
        <v>0.32736799999999999</v>
      </c>
      <c r="F358">
        <f t="shared" si="10"/>
        <v>327.36799999999999</v>
      </c>
      <c r="G358">
        <f t="shared" si="11"/>
        <v>-1.116670358589813</v>
      </c>
    </row>
    <row r="359" spans="1:7" x14ac:dyDescent="0.3">
      <c r="A359" t="s">
        <v>11</v>
      </c>
      <c r="B359" t="s">
        <v>18</v>
      </c>
      <c r="C359">
        <v>1</v>
      </c>
      <c r="D359">
        <v>14</v>
      </c>
      <c r="E359">
        <v>0.32069799999999998</v>
      </c>
      <c r="F359">
        <f t="shared" si="10"/>
        <v>320.69799999999998</v>
      </c>
      <c r="G359">
        <f t="shared" si="11"/>
        <v>-1.1372554086604409</v>
      </c>
    </row>
    <row r="360" spans="1:7" x14ac:dyDescent="0.3">
      <c r="A360" t="s">
        <v>11</v>
      </c>
      <c r="B360" t="s">
        <v>18</v>
      </c>
      <c r="C360">
        <v>2</v>
      </c>
      <c r="D360">
        <v>14</v>
      </c>
      <c r="E360">
        <v>0.31668099999999999</v>
      </c>
      <c r="F360">
        <f t="shared" si="10"/>
        <v>316.68099999999998</v>
      </c>
      <c r="G360">
        <f t="shared" si="11"/>
        <v>-1.1498603209221114</v>
      </c>
    </row>
    <row r="361" spans="1:7" x14ac:dyDescent="0.3">
      <c r="A361" t="s">
        <v>11</v>
      </c>
      <c r="B361" t="s">
        <v>18</v>
      </c>
      <c r="C361">
        <v>3</v>
      </c>
      <c r="D361">
        <v>14</v>
      </c>
      <c r="E361">
        <v>0.30257200000000001</v>
      </c>
      <c r="F361">
        <f t="shared" si="10"/>
        <v>302.572</v>
      </c>
      <c r="G361">
        <f t="shared" si="11"/>
        <v>-1.1954360133037554</v>
      </c>
    </row>
    <row r="362" spans="1:7" x14ac:dyDescent="0.3">
      <c r="A362" t="s">
        <v>13</v>
      </c>
      <c r="B362" t="s">
        <v>18</v>
      </c>
      <c r="C362">
        <v>1</v>
      </c>
      <c r="D362">
        <v>14</v>
      </c>
      <c r="E362">
        <v>0.32458799999999999</v>
      </c>
      <c r="F362">
        <f t="shared" si="10"/>
        <v>324.58799999999997</v>
      </c>
      <c r="G362">
        <f t="shared" si="11"/>
        <v>-1.1251985931617108</v>
      </c>
    </row>
    <row r="363" spans="1:7" x14ac:dyDescent="0.3">
      <c r="A363" t="s">
        <v>13</v>
      </c>
      <c r="B363" t="s">
        <v>18</v>
      </c>
      <c r="C363">
        <v>2</v>
      </c>
      <c r="D363">
        <v>14</v>
      </c>
      <c r="E363">
        <v>0.29571500000000001</v>
      </c>
      <c r="F363">
        <f t="shared" si="10"/>
        <v>295.71500000000003</v>
      </c>
      <c r="G363">
        <f t="shared" si="11"/>
        <v>-1.2183591263220157</v>
      </c>
    </row>
    <row r="364" spans="1:7" x14ac:dyDescent="0.3">
      <c r="A364" t="s">
        <v>13</v>
      </c>
      <c r="B364" t="s">
        <v>18</v>
      </c>
      <c r="C364">
        <v>3</v>
      </c>
      <c r="D364">
        <v>14</v>
      </c>
      <c r="E364">
        <v>0.30678100000000003</v>
      </c>
      <c r="F364">
        <f t="shared" si="10"/>
        <v>306.78100000000001</v>
      </c>
      <c r="G364">
        <f t="shared" si="11"/>
        <v>-1.1816211410025803</v>
      </c>
    </row>
    <row r="365" spans="1:7" x14ac:dyDescent="0.3">
      <c r="A365" t="s">
        <v>15</v>
      </c>
      <c r="B365" t="s">
        <v>18</v>
      </c>
      <c r="C365">
        <v>1</v>
      </c>
      <c r="D365">
        <v>14</v>
      </c>
      <c r="E365">
        <v>0.285551</v>
      </c>
      <c r="F365">
        <f t="shared" si="10"/>
        <v>285.55099999999999</v>
      </c>
      <c r="G365">
        <f t="shared" si="11"/>
        <v>-1.2533346318637393</v>
      </c>
    </row>
    <row r="366" spans="1:7" x14ac:dyDescent="0.3">
      <c r="A366" t="s">
        <v>15</v>
      </c>
      <c r="B366" t="s">
        <v>18</v>
      </c>
      <c r="C366">
        <v>2</v>
      </c>
      <c r="D366">
        <v>14</v>
      </c>
      <c r="E366">
        <v>0.33892699999999998</v>
      </c>
      <c r="F366">
        <f t="shared" si="10"/>
        <v>338.92699999999996</v>
      </c>
      <c r="G366">
        <f t="shared" si="11"/>
        <v>-1.0819705340235468</v>
      </c>
    </row>
    <row r="367" spans="1:7" x14ac:dyDescent="0.3">
      <c r="A367" t="s">
        <v>15</v>
      </c>
      <c r="B367" t="s">
        <v>18</v>
      </c>
      <c r="C367">
        <v>3</v>
      </c>
      <c r="D367">
        <v>14</v>
      </c>
      <c r="E367">
        <v>0.34904099999999999</v>
      </c>
      <c r="F367">
        <f t="shared" si="10"/>
        <v>349.041</v>
      </c>
      <c r="G367">
        <f t="shared" si="11"/>
        <v>-1.052565885169741</v>
      </c>
    </row>
    <row r="368" spans="1:7" x14ac:dyDescent="0.3">
      <c r="A368" t="s">
        <v>12</v>
      </c>
      <c r="B368" t="s">
        <v>18</v>
      </c>
      <c r="C368">
        <v>1</v>
      </c>
      <c r="D368">
        <v>14</v>
      </c>
      <c r="E368">
        <v>0.31973400000000002</v>
      </c>
      <c r="F368">
        <f t="shared" si="10"/>
        <v>319.73400000000004</v>
      </c>
      <c r="G368">
        <f t="shared" si="11"/>
        <v>-1.1402658788682236</v>
      </c>
    </row>
    <row r="369" spans="1:7" x14ac:dyDescent="0.3">
      <c r="A369" t="s">
        <v>12</v>
      </c>
      <c r="B369" t="s">
        <v>18</v>
      </c>
      <c r="C369">
        <v>2</v>
      </c>
      <c r="D369">
        <v>14</v>
      </c>
      <c r="E369">
        <v>0.31654599999999999</v>
      </c>
      <c r="F369">
        <f t="shared" si="10"/>
        <v>316.54599999999999</v>
      </c>
      <c r="G369">
        <f t="shared" si="11"/>
        <v>-1.1502867083062416</v>
      </c>
    </row>
    <row r="370" spans="1:7" x14ac:dyDescent="0.3">
      <c r="A370" t="s">
        <v>12</v>
      </c>
      <c r="B370" t="s">
        <v>18</v>
      </c>
      <c r="C370">
        <v>3</v>
      </c>
      <c r="D370">
        <v>14</v>
      </c>
      <c r="E370">
        <v>0.300099</v>
      </c>
      <c r="F370">
        <f t="shared" si="10"/>
        <v>300.09899999999999</v>
      </c>
      <c r="G370">
        <f t="shared" si="11"/>
        <v>-1.20364285876396</v>
      </c>
    </row>
    <row r="371" spans="1:7" x14ac:dyDescent="0.3">
      <c r="A371" t="s">
        <v>14</v>
      </c>
      <c r="B371" t="s">
        <v>18</v>
      </c>
      <c r="C371">
        <v>1</v>
      </c>
      <c r="D371">
        <v>14</v>
      </c>
      <c r="E371">
        <v>0.32640599999999997</v>
      </c>
      <c r="F371">
        <f t="shared" si="10"/>
        <v>326.40599999999995</v>
      </c>
      <c r="G371">
        <f t="shared" si="11"/>
        <v>-1.1196132737081974</v>
      </c>
    </row>
    <row r="372" spans="1:7" x14ac:dyDescent="0.3">
      <c r="A372" t="s">
        <v>14</v>
      </c>
      <c r="B372" t="s">
        <v>18</v>
      </c>
      <c r="C372">
        <v>2</v>
      </c>
      <c r="D372">
        <v>14</v>
      </c>
      <c r="E372">
        <v>0.32533299999999998</v>
      </c>
      <c r="F372">
        <f t="shared" si="10"/>
        <v>325.33299999999997</v>
      </c>
      <c r="G372">
        <f t="shared" si="11"/>
        <v>-1.1229060058278431</v>
      </c>
    </row>
    <row r="373" spans="1:7" x14ac:dyDescent="0.3">
      <c r="A373" t="s">
        <v>14</v>
      </c>
      <c r="B373" t="s">
        <v>18</v>
      </c>
      <c r="C373">
        <v>3</v>
      </c>
      <c r="D373">
        <v>14</v>
      </c>
      <c r="E373">
        <v>0.324299</v>
      </c>
      <c r="F373">
        <f t="shared" si="10"/>
        <v>324.29899999999998</v>
      </c>
      <c r="G373">
        <f t="shared" si="11"/>
        <v>-1.1260893492382196</v>
      </c>
    </row>
    <row r="374" spans="1:7" x14ac:dyDescent="0.3">
      <c r="A374" t="s">
        <v>16</v>
      </c>
      <c r="B374" t="s">
        <v>18</v>
      </c>
      <c r="C374">
        <v>1</v>
      </c>
      <c r="D374">
        <v>14</v>
      </c>
      <c r="E374">
        <v>0.30360399999999998</v>
      </c>
      <c r="F374">
        <f t="shared" si="10"/>
        <v>303.60399999999998</v>
      </c>
      <c r="G374">
        <f t="shared" si="11"/>
        <v>-1.1920310583168883</v>
      </c>
    </row>
    <row r="375" spans="1:7" x14ac:dyDescent="0.3">
      <c r="A375" t="s">
        <v>16</v>
      </c>
      <c r="B375" t="s">
        <v>18</v>
      </c>
      <c r="C375">
        <v>2</v>
      </c>
      <c r="D375">
        <v>14</v>
      </c>
      <c r="E375">
        <v>0.31589899999999999</v>
      </c>
      <c r="F375">
        <f t="shared" si="10"/>
        <v>315.899</v>
      </c>
      <c r="G375">
        <f t="shared" si="11"/>
        <v>-1.1523327367378291</v>
      </c>
    </row>
    <row r="376" spans="1:7" x14ac:dyDescent="0.3">
      <c r="A376" t="s">
        <v>16</v>
      </c>
      <c r="B376" t="s">
        <v>18</v>
      </c>
      <c r="C376">
        <v>3</v>
      </c>
      <c r="D376">
        <v>14</v>
      </c>
      <c r="E376">
        <v>0.34720000000000001</v>
      </c>
      <c r="F376">
        <f t="shared" si="10"/>
        <v>347.2</v>
      </c>
      <c r="G376">
        <f t="shared" si="11"/>
        <v>-1.0578542961959418</v>
      </c>
    </row>
    <row r="377" spans="1:7" x14ac:dyDescent="0.3">
      <c r="A377" t="s">
        <v>17</v>
      </c>
      <c r="B377" t="s">
        <v>18</v>
      </c>
      <c r="C377">
        <v>1</v>
      </c>
      <c r="D377">
        <v>14</v>
      </c>
      <c r="E377">
        <v>0.26474500000000001</v>
      </c>
      <c r="F377">
        <f t="shared" si="10"/>
        <v>264.745</v>
      </c>
      <c r="G377">
        <f t="shared" si="11"/>
        <v>-1.3289881804202244</v>
      </c>
    </row>
    <row r="378" spans="1:7" x14ac:dyDescent="0.3">
      <c r="A378" t="s">
        <v>17</v>
      </c>
      <c r="B378" t="s">
        <v>18</v>
      </c>
      <c r="C378">
        <v>2</v>
      </c>
      <c r="D378">
        <v>14</v>
      </c>
      <c r="E378">
        <v>0.30170799999999998</v>
      </c>
      <c r="F378">
        <f t="shared" si="10"/>
        <v>301.70799999999997</v>
      </c>
      <c r="G378">
        <f t="shared" si="11"/>
        <v>-1.1982956167616485</v>
      </c>
    </row>
    <row r="379" spans="1:7" x14ac:dyDescent="0.3">
      <c r="A379" t="s">
        <v>17</v>
      </c>
      <c r="B379" t="s">
        <v>18</v>
      </c>
      <c r="C379">
        <v>3</v>
      </c>
      <c r="D379">
        <v>14</v>
      </c>
      <c r="E379">
        <v>0.256216</v>
      </c>
      <c r="F379">
        <f t="shared" si="10"/>
        <v>256.21600000000001</v>
      </c>
      <c r="G379">
        <f t="shared" si="11"/>
        <v>-1.3617344402595066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qihui zhang</cp:lastModifiedBy>
  <dcterms:created xsi:type="dcterms:W3CDTF">2015-06-05T18:17:20Z</dcterms:created>
  <dcterms:modified xsi:type="dcterms:W3CDTF">2025-11-14T06:53:48Z</dcterms:modified>
</cp:coreProperties>
</file>